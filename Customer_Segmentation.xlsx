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7a021c9143cf7bbc/Desktop/"/>
    </mc:Choice>
  </mc:AlternateContent>
  <xr:revisionPtr revIDLastSave="0" documentId="8_{21408411-00D8-4825-8776-844A4B7D0CA9}" xr6:coauthVersionLast="47" xr6:coauthVersionMax="47" xr10:uidLastSave="{00000000-0000-0000-0000-000000000000}"/>
  <bookViews>
    <workbookView xWindow="-110" yWindow="-110" windowWidth="19420" windowHeight="11500" activeTab="2" xr2:uid="{49ABCDCB-C04A-412D-B36C-F5C435B1A996}"/>
  </bookViews>
  <sheets>
    <sheet name="Customers" sheetId="2" r:id="rId1"/>
    <sheet name="Breakdown" sheetId="1" r:id="rId2"/>
    <sheet name="Visuals" sheetId="3"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<sst xmlns="http://schemas.openxmlformats.org/spreadsheetml/2006/main" count="4565" uniqueCount="1052">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</sst>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DFDF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0" fontId="0" fillId="3" borderId="0" xfId="0" applyFill="1"/>
    <xf numFmtId="164" fontId="0" fillId="0" borderId="0" xfId="0" applyNumberFormat="1" applyAlignment="1">
      <alignment horizontal="center"/>
    </xf>
    <xf numFmtId="9" fontId="0" fillId="0" borderId="0" xfId="1" applyFont="1" applyAlignment="1">
      <alignment horizontal="center"/>
    </xf>
    <xf numFmtId="0" fontId="0" fillId="2" borderId="0" xfId="0" applyFill="1" applyAlignment="1">
      <alignment horizontal="center"/>
    </xf>
    <xf numFmtId="0" fontId="0" fillId="0" borderId="0" xfId="0" applyNumberFormat="1" applyAlignment="1">
      <alignment horizontal="center"/>
    </xf>
  </cellXfs>
  <cellStyles count="2">
    <cellStyle name="Normal" xfId="0" builtinId="0"/>
    <cellStyle name="Percent" xfId="1" builtinId="5"/>
  </cellStyles>
  <dxfs count="383">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13" formatCode="0%"/>
    </dxf>
    <dxf>
      <numFmt numFmtId="0" formatCode="General"/>
    </dxf>
    <dxf>
      <alignment horizontal="center"/>
    </dxf>
    <dxf>
      <numFmt numFmtId="13" formatCode="0%"/>
    </dxf>
    <dxf>
      <numFmt numFmtId="0" formatCode="General"/>
    </dxf>
    <dxf>
      <alignment horizontal="center"/>
    </dxf>
    <dxf>
      <numFmt numFmtId="13" formatCode="0%"/>
    </dxf>
    <dxf>
      <numFmt numFmtId="14" formatCode="0.00%"/>
    </dxf>
    <dxf>
      <alignment horizontal="center"/>
    </dxf>
    <dxf>
      <numFmt numFmtId="13" formatCode="0%"/>
    </dxf>
    <dxf>
      <numFmt numFmtId="0" formatCode="General"/>
    </dxf>
    <dxf>
      <alignment horizontal="center"/>
    </dxf>
    <dxf>
      <numFmt numFmtId="14" formatCode="0.00%"/>
    </dxf>
    <dxf>
      <numFmt numFmtId="13" formatCode="0%"/>
    </dxf>
    <dxf>
      <numFmt numFmtId="1" formatCode="0"/>
    </dxf>
    <dxf>
      <alignment horizontal="center"/>
    </dxf>
    <dxf>
      <numFmt numFmtId="1" formatCode="0"/>
    </dxf>
    <dxf>
      <alignment horizontal="center"/>
    </dxf>
    <dxf>
      <alignment horizontal="center"/>
    </dxf>
    <dxf>
      <numFmt numFmtId="164" formatCode="&quot;$&quot;0.0,&quot;K&quot;"/>
    </dxf>
    <dxf>
      <alignment horizontal="center"/>
    </dxf>
    <dxf>
      <numFmt numFmtId="13" formatCode="0%"/>
    </dxf>
    <dxf>
      <numFmt numFmtId="0" formatCode="General"/>
    </dxf>
    <dxf>
      <alignment horizontal="center"/>
    </dxf>
    <dxf>
      <alignment horizontal="center"/>
    </dxf>
    <dxf>
      <numFmt numFmtId="0" formatCode="General"/>
    </dxf>
    <dxf>
      <numFmt numFmtId="13" formatCode="0%"/>
    </dxf>
    <dxf>
      <alignment horizontal="center"/>
    </dxf>
    <dxf>
      <numFmt numFmtId="13" formatCode="0%"/>
    </dxf>
    <dxf>
      <numFmt numFmtId="14" formatCode="0.00%"/>
    </dxf>
    <dxf>
      <alignment horizontal="center"/>
    </dxf>
    <dxf>
      <numFmt numFmtId="0" formatCode="General"/>
    </dxf>
    <dxf>
      <numFmt numFmtId="13" formatCode="0%"/>
    </dxf>
    <dxf>
      <alignment horizontal="center"/>
    </dxf>
    <dxf>
      <numFmt numFmtId="0" formatCode="General"/>
    </dxf>
    <dxf>
      <numFmt numFmtId="13" formatCode="0%"/>
    </dxf>
    <dxf>
      <alignment horizontal="center"/>
    </dxf>
    <dxf>
      <alignment horizontal="center"/>
    </dxf>
    <dxf>
      <numFmt numFmtId="1" formatCode="0"/>
    </dxf>
    <dxf>
      <numFmt numFmtId="0" formatCode="General"/>
    </dxf>
    <dxf>
      <numFmt numFmtId="13" formatCode="0%"/>
    </dxf>
    <dxf>
      <alignment horizontal="center"/>
    </dxf>
    <dxf>
      <alignment horizontal="center"/>
    </dxf>
    <dxf>
      <numFmt numFmtId="1" formatCode="0"/>
    </dxf>
    <dxf>
      <numFmt numFmtId="164" formatCode="&quot;$&quot;0.0,&quot;K&quot;"/>
    </dxf>
    <dxf>
      <alignment horizontal="center"/>
    </dxf>
    <dxf>
      <numFmt numFmtId="14" formatCode="0.00%"/>
    </dxf>
    <dxf>
      <numFmt numFmtId="13" formatCode="0%"/>
    </dxf>
    <dxf>
      <alignment horizontal="center"/>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2" defaultTableStyle="TableStyleMedium2" defaultPivotStyle="PivotStyleLight16">
    <tableStyle name="Invisible" pivot="0" table="0" count="0" xr9:uid="{A5D59C47-8BF0-4E8C-AE27-E0F5257F7D4C}"/>
    <tableStyle name="Slicer Style 1" pivot="0" table="0" count="2" xr9:uid="{EEAAB1F6-1AF3-44E7-9639-E829DEA086AD}">
      <tableStyleElement type="wholeTable" dxfId="382"/>
    </tableStyle>
  </tableStyles>
  <colors>
    <mruColors>
      <color rgb="FF02403D"/>
      <color rgb="FFFFFFFF"/>
      <color rgb="FFF0F0F0"/>
      <color rgb="FF134E4C"/>
      <color rgb="FFDFDFDF"/>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7</c:v>
                </c:pt>
                <c:pt idx="1">
                  <c:v>7</c:v>
                </c:pt>
                <c:pt idx="2">
                  <c:v>6</c:v>
                </c:pt>
                <c:pt idx="3">
                  <c:v>7</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rgbClr val="DFDFDF"/>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4</c:v>
                </c:pt>
                <c:pt idx="1">
                  <c:v>5</c:v>
                </c:pt>
                <c:pt idx="2">
                  <c:v>8</c:v>
                </c:pt>
                <c:pt idx="3">
                  <c:v>12</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DFDFDF"/>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0.3392857142857143</c:v>
                </c:pt>
                <c:pt idx="1">
                  <c:v>0.30357142857142855</c:v>
                </c:pt>
                <c:pt idx="2">
                  <c:v>0.23214285714285715</c:v>
                </c:pt>
                <c:pt idx="3">
                  <c:v>0.125</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Medium</c:v>
                </c:pt>
                <c:pt idx="1">
                  <c:v>High</c:v>
                </c:pt>
                <c:pt idx="2">
                  <c:v>Low</c:v>
                </c:pt>
              </c:strCache>
            </c:strRef>
          </c:cat>
          <c:val>
            <c:numRef>
              <c:f>Breakdown!$G$21:$G$23</c:f>
              <c:numCache>
                <c:formatCode>General</c:formatCode>
                <c:ptCount val="3"/>
                <c:pt idx="0">
                  <c:v>5</c:v>
                </c:pt>
                <c:pt idx="1">
                  <c:v>8</c:v>
                </c:pt>
                <c:pt idx="2">
                  <c:v>14</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rgbClr val="DFDFDF"/>
            </a:solidFill>
            <a:ln>
              <a:noFill/>
            </a:ln>
            <a:effectLst/>
          </c:spPr>
          <c:invertIfNegative val="0"/>
          <c:cat>
            <c:strRef>
              <c:f>Breakdown!$F$21:$F$23</c:f>
              <c:strCache>
                <c:ptCount val="3"/>
                <c:pt idx="0">
                  <c:v>Medium</c:v>
                </c:pt>
                <c:pt idx="1">
                  <c:v>High</c:v>
                </c:pt>
                <c:pt idx="2">
                  <c:v>Low</c:v>
                </c:pt>
              </c:strCache>
            </c:strRef>
          </c:cat>
          <c:val>
            <c:numRef>
              <c:f>Breakdown!$H$21:$H$23</c:f>
              <c:numCache>
                <c:formatCode>General</c:formatCode>
                <c:ptCount val="3"/>
                <c:pt idx="0">
                  <c:v>9</c:v>
                </c:pt>
                <c:pt idx="1">
                  <c:v>9</c:v>
                </c:pt>
                <c:pt idx="2">
                  <c:v>11</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2</c:v>
                </c:pt>
                <c:pt idx="1">
                  <c:v>5</c:v>
                </c:pt>
                <c:pt idx="2">
                  <c:v>9</c:v>
                </c:pt>
                <c:pt idx="3">
                  <c:v>4</c:v>
                </c:pt>
                <c:pt idx="4">
                  <c:v>2</c:v>
                </c:pt>
                <c:pt idx="5">
                  <c:v>5</c:v>
                </c:pt>
                <c:pt idx="6">
                  <c:v>3</c:v>
                </c:pt>
                <c:pt idx="7">
                  <c:v>8</c:v>
                </c:pt>
                <c:pt idx="8">
                  <c:v>9</c:v>
                </c:pt>
                <c:pt idx="9">
                  <c:v>6</c:v>
                </c:pt>
                <c:pt idx="10">
                  <c:v>3</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2</c:v>
                </c:pt>
                <c:pt idx="1">
                  <c:v>5</c:v>
                </c:pt>
                <c:pt idx="2">
                  <c:v>3</c:v>
                </c:pt>
                <c:pt idx="3">
                  <c:v>6</c:v>
                </c:pt>
                <c:pt idx="4">
                  <c:v>5</c:v>
                </c:pt>
                <c:pt idx="5">
                  <c:v>3</c:v>
                </c:pt>
                <c:pt idx="6">
                  <c:v>3</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rgbClr val="DFDFDF"/>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4</c:v>
                </c:pt>
                <c:pt idx="1">
                  <c:v>5</c:v>
                </c:pt>
                <c:pt idx="2">
                  <c:v>4</c:v>
                </c:pt>
                <c:pt idx="3">
                  <c:v>6</c:v>
                </c:pt>
                <c:pt idx="4">
                  <c:v>3</c:v>
                </c:pt>
                <c:pt idx="5">
                  <c:v>4</c:v>
                </c:pt>
                <c:pt idx="6">
                  <c:v>3</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hyperlink" Target="#Breakdown!A1"/><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VIsuals '!A1"/><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3114675" y="647700"/>
          <a:ext cx="11229975" cy="64484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831B3C9B-5E49-3C0F-1A62-4B9DDFFC046F}"/>
            </a:ext>
          </a:extLst>
        </xdr:cNvPr>
        <xdr:cNvSpPr/>
      </xdr:nvSpPr>
      <xdr:spPr>
        <a:xfrm rot="16200000">
          <a:off x="814388" y="2928938"/>
          <a:ext cx="6438902" cy="1895476"/>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a:off x="5219700" y="1419225"/>
          <a:ext cx="875347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238750" y="1847849"/>
          <a:ext cx="8696325" cy="1066801"/>
        </a:xfrm>
        <a:prstGeom prst="roundRect">
          <a:avLst>
            <a:gd name="adj" fmla="val 20145"/>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229224" y="3124200"/>
          <a:ext cx="3124201" cy="1714500"/>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8482012" y="3143250"/>
          <a:ext cx="2657476" cy="1714500"/>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1268075" y="3162300"/>
          <a:ext cx="2705101" cy="1714500"/>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8991599" y="4991099"/>
          <a:ext cx="4972051" cy="181927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266700</xdr:colOff>
      <xdr:row>5</xdr:row>
      <xdr:rowOff>19050</xdr:rowOff>
    </xdr:from>
    <xdr:to>
      <xdr:col>6</xdr:col>
      <xdr:colOff>22860</xdr:colOff>
      <xdr:row>7</xdr:row>
      <xdr:rowOff>22860</xdr:rowOff>
    </xdr:to>
    <xdr:pic>
      <xdr:nvPicPr>
        <xdr:cNvPr id="36" name="Picture 35">
          <a:extLst>
            <a:ext uri="{FF2B5EF4-FFF2-40B4-BE49-F238E27FC236}">
              <a16:creationId xmlns:a16="http://schemas.microsoft.com/office/drawing/2014/main" id="{3FD54FB0-C2F9-0394-2999-5AA0200CD9E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14700" y="923925"/>
          <a:ext cx="365760" cy="365760"/>
        </a:xfrm>
        <a:prstGeom prst="rect">
          <a:avLst/>
        </a:prstGeom>
      </xdr:spPr>
    </xdr:pic>
    <xdr:clientData/>
  </xdr:twoCellAnchor>
  <xdr:twoCellAnchor>
    <xdr:from>
      <xdr:col>5</xdr:col>
      <xdr:colOff>495300</xdr:colOff>
      <xdr:row>5</xdr:row>
      <xdr:rowOff>104775</xdr:rowOff>
    </xdr:from>
    <xdr:to>
      <xdr:col>7</xdr:col>
      <xdr:colOff>228600</xdr:colOff>
      <xdr:row>7</xdr:row>
      <xdr:rowOff>76200</xdr:rowOff>
    </xdr:to>
    <xdr:sp macro="" textlink="">
      <xdr:nvSpPr>
        <xdr:cNvPr id="37" name="TextBox 36">
          <a:extLst>
            <a:ext uri="{FF2B5EF4-FFF2-40B4-BE49-F238E27FC236}">
              <a16:creationId xmlns:a16="http://schemas.microsoft.com/office/drawing/2014/main" id="{33AF42A3-B6D1-30DB-0F25-7250220D5C04}"/>
            </a:ext>
          </a:extLst>
        </xdr:cNvPr>
        <xdr:cNvSpPr txBox="1"/>
      </xdr:nvSpPr>
      <xdr:spPr>
        <a:xfrm>
          <a:off x="3543300" y="1009650"/>
          <a:ext cx="952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Bauhaus 93" panose="04030905020B02020C02" pitchFamily="82" charset="0"/>
            </a:rPr>
            <a:t>SENDING</a:t>
          </a:r>
        </a:p>
      </xdr:txBody>
    </xdr:sp>
    <xdr:clientData/>
  </xdr:twoCellAnchor>
  <xdr:twoCellAnchor>
    <xdr:from>
      <xdr:col>5</xdr:col>
      <xdr:colOff>276225</xdr:colOff>
      <xdr:row>11</xdr:row>
      <xdr:rowOff>19050</xdr:rowOff>
    </xdr:from>
    <xdr:to>
      <xdr:col>7</xdr:col>
      <xdr:colOff>466725</xdr:colOff>
      <xdr:row>13</xdr:row>
      <xdr:rowOff>19050</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8E59BC6D-5958-328E-D3C5-1A27BA575B57}"/>
            </a:ext>
          </a:extLst>
        </xdr:cNvPr>
        <xdr:cNvSpPr/>
      </xdr:nvSpPr>
      <xdr:spPr>
        <a:xfrm>
          <a:off x="3324225" y="2009775"/>
          <a:ext cx="1409700" cy="3619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5</xdr:col>
      <xdr:colOff>333375</xdr:colOff>
      <xdr:row>14</xdr:row>
      <xdr:rowOff>61912</xdr:rowOff>
    </xdr:from>
    <xdr:to>
      <xdr:col>7</xdr:col>
      <xdr:colOff>409575</xdr:colOff>
      <xdr:row>16</xdr:row>
      <xdr:rowOff>23812</xdr:rowOff>
    </xdr:to>
    <xdr:sp macro="" textlink="">
      <xdr:nvSpPr>
        <xdr:cNvPr id="41" name="TextBox 40">
          <a:hlinkClick xmlns:r="http://schemas.openxmlformats.org/officeDocument/2006/relationships" r:id="rId7"/>
          <a:extLst>
            <a:ext uri="{FF2B5EF4-FFF2-40B4-BE49-F238E27FC236}">
              <a16:creationId xmlns:a16="http://schemas.microsoft.com/office/drawing/2014/main" id="{15796A0E-1476-1C38-945C-94EDDA6CB9A9}"/>
            </a:ext>
          </a:extLst>
        </xdr:cNvPr>
        <xdr:cNvSpPr txBox="1"/>
      </xdr:nvSpPr>
      <xdr:spPr>
        <a:xfrm>
          <a:off x="3381375" y="2595562"/>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BREAKDOWN</a:t>
          </a:r>
        </a:p>
      </xdr:txBody>
    </xdr:sp>
    <xdr:clientData/>
  </xdr:twoCellAnchor>
  <xdr:twoCellAnchor>
    <xdr:from>
      <xdr:col>5</xdr:col>
      <xdr:colOff>333375</xdr:colOff>
      <xdr:row>17</xdr:row>
      <xdr:rowOff>66675</xdr:rowOff>
    </xdr:from>
    <xdr:to>
      <xdr:col>7</xdr:col>
      <xdr:colOff>409575</xdr:colOff>
      <xdr:row>19</xdr:row>
      <xdr:rowOff>28575</xdr:rowOff>
    </xdr:to>
    <xdr:sp macro="" textlink="">
      <xdr:nvSpPr>
        <xdr:cNvPr id="42" name="TextBox 41">
          <a:hlinkClick xmlns:r="http://schemas.openxmlformats.org/officeDocument/2006/relationships" r:id="rId8"/>
          <a:extLst>
            <a:ext uri="{FF2B5EF4-FFF2-40B4-BE49-F238E27FC236}">
              <a16:creationId xmlns:a16="http://schemas.microsoft.com/office/drawing/2014/main" id="{19216FF9-6D99-4482-8637-5A779CD6371C}"/>
            </a:ext>
          </a:extLst>
        </xdr:cNvPr>
        <xdr:cNvSpPr txBox="1"/>
      </xdr:nvSpPr>
      <xdr:spPr>
        <a:xfrm>
          <a:off x="3381375" y="3143250"/>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editAs="oneCell">
    <xdr:from>
      <xdr:col>7</xdr:col>
      <xdr:colOff>190500</xdr:colOff>
      <xdr:row>9</xdr:row>
      <xdr:rowOff>104775</xdr:rowOff>
    </xdr:from>
    <xdr:to>
      <xdr:col>7</xdr:col>
      <xdr:colOff>419103</xdr:colOff>
      <xdr:row>10</xdr:row>
      <xdr:rowOff>152403</xdr:rowOff>
    </xdr:to>
    <xdr:pic>
      <xdr:nvPicPr>
        <xdr:cNvPr id="44" name="Picture 43">
          <a:extLst>
            <a:ext uri="{FF2B5EF4-FFF2-40B4-BE49-F238E27FC236}">
              <a16:creationId xmlns:a16="http://schemas.microsoft.com/office/drawing/2014/main" id="{23ACB39D-7035-AD10-5F2C-AE519516E20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57700" y="1733550"/>
          <a:ext cx="228603" cy="228603"/>
        </a:xfrm>
        <a:prstGeom prst="rect">
          <a:avLst/>
        </a:prstGeom>
      </xdr:spPr>
    </xdr:pic>
    <xdr:clientData/>
  </xdr:twoCellAnchor>
  <xdr:twoCellAnchor>
    <xdr:from>
      <xdr:col>8</xdr:col>
      <xdr:colOff>266700</xdr:colOff>
      <xdr:row>5</xdr:row>
      <xdr:rowOff>1</xdr:rowOff>
    </xdr:from>
    <xdr:to>
      <xdr:col>14</xdr:col>
      <xdr:colOff>333375</xdr:colOff>
      <xdr:row>6</xdr:row>
      <xdr:rowOff>142876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143500" y="904876"/>
          <a:ext cx="3724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56</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42</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$111.4K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Emerging</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34%</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xdr:from>
      <xdr:col>21</xdr:col>
      <xdr:colOff>1</xdr:colOff>
      <xdr:row>4</xdr:row>
      <xdr:rowOff>171451</xdr:rowOff>
    </xdr:from>
    <xdr:to>
      <xdr:col>22</xdr:col>
      <xdr:colOff>361951</xdr:colOff>
      <xdr:row>7</xdr:row>
      <xdr:rowOff>85726</xdr:rowOff>
    </xdr:to>
    <xdr:sp macro="" textlink="">
      <xdr:nvSpPr>
        <xdr:cNvPr id="71" name="TextBox 70">
          <a:extLst>
            <a:ext uri="{FF2B5EF4-FFF2-40B4-BE49-F238E27FC236}">
              <a16:creationId xmlns:a16="http://schemas.microsoft.com/office/drawing/2014/main" id="{896798ED-1133-4CC7-A891-85C888BCFCCA}"/>
            </a:ext>
          </a:extLst>
        </xdr:cNvPr>
        <xdr:cNvSpPr txBox="1"/>
      </xdr:nvSpPr>
      <xdr:spPr>
        <a:xfrm>
          <a:off x="12801601" y="895351"/>
          <a:ext cx="971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i="0" u="none" strike="noStrike">
            <a:solidFill>
              <a:schemeClr val="bg1">
                <a:lumMod val="65000"/>
              </a:schemeClr>
            </a:solidFill>
            <a:latin typeface="Abadi" panose="020B0604020104020204" pitchFamily="34" charset="0"/>
          </a:endParaRPr>
        </a:p>
      </xdr:txBody>
    </xdr:sp>
    <xdr:clientData/>
  </xdr:twoCellAnchor>
  <xdr:twoCellAnchor editAs="oneCell">
    <xdr:from>
      <xdr:col>18</xdr:col>
      <xdr:colOff>238125</xdr:colOff>
      <xdr:row>8</xdr:row>
      <xdr:rowOff>19050</xdr:rowOff>
    </xdr:from>
    <xdr:to>
      <xdr:col>22</xdr:col>
      <xdr:colOff>485775</xdr:colOff>
      <xdr:row>10</xdr:row>
      <xdr:rowOff>9525</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210925" y="1466850"/>
              <a:ext cx="268605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10</xdr:row>
      <xdr:rowOff>9525</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4700" y="1466850"/>
              <a:ext cx="413766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324476" y="1533525"/>
          <a:ext cx="695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file:///C:\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1">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3">
    <format dxfId="353">
      <pivotArea outline="0" collapsedLevelsAreSubtotals="1" fieldPosition="0"/>
    </format>
    <format dxfId="352">
      <pivotArea outline="0" collapsedLevelsAreSubtotals="1" fieldPosition="0"/>
    </format>
    <format dxfId="351">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3">
    <format dxfId="356">
      <pivotArea outline="0" collapsedLevelsAreSubtotals="1" fieldPosition="0"/>
    </format>
    <format dxfId="355">
      <pivotArea outline="0" fieldPosition="0">
        <references count="1">
          <reference field="4294967294" count="1">
            <x v="0"/>
          </reference>
        </references>
      </pivotArea>
    </format>
    <format dxfId="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h="1" x="1"/>
        <item h="1" x="0"/>
        <item h="1"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h="1" x="1"/>
        <item h="1" x="2"/>
        <item x="0"/>
        <item t="default"/>
      </items>
    </pivotField>
    <pivotField numFmtId="14" showAll="0"/>
    <pivotField showAll="0"/>
    <pivotField showAll="0">
      <items count="5">
        <item x="0"/>
        <item x="2"/>
        <item x="1"/>
        <item x="3"/>
        <item t="default"/>
      </items>
    </pivotField>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formats count="3">
    <format dxfId="359">
      <pivotArea outline="0" collapsedLevelsAreSubtotals="1" fieldPosition="0"/>
    </format>
    <format dxfId="358">
      <pivotArea outline="0" collapsedLevelsAreSubtotals="1" fieldPosition="0"/>
    </format>
    <format dxfId="357">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h="1" x="1"/>
        <item h="1" x="0"/>
        <item h="1" x="3"/>
        <item x="2"/>
        <item t="default"/>
      </items>
    </pivotField>
    <pivotField axis="axisRow" showAll="0">
      <items count="8">
        <item x="3"/>
        <item x="0"/>
        <item x="5"/>
        <item x="6"/>
        <item x="4"/>
        <item x="2"/>
        <item x="1"/>
        <item t="default"/>
      </items>
    </pivotField>
    <pivotField showAll="0"/>
    <pivotField showAll="0"/>
    <pivotField showAll="0">
      <items count="4">
        <item h="1" x="1"/>
        <item h="1"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3">
    <format dxfId="362">
      <pivotArea outline="0" collapsedLevelsAreSubtotals="1" fieldPosition="0"/>
    </format>
    <format dxfId="361">
      <pivotArea outline="0" collapsedLevelsAreSubtotals="1" fieldPosition="0"/>
    </format>
    <format dxfId="36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364">
      <pivotArea outline="0" collapsedLevelsAreSubtotals="1" fieldPosition="0"/>
    </format>
    <format dxfId="3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3">
    <format dxfId="367">
      <pivotArea outline="0" collapsedLevelsAreSubtotals="1" fieldPosition="0"/>
    </format>
    <format dxfId="366">
      <pivotArea outline="0" collapsedLevelsAreSubtotals="1" fieldPosition="0"/>
    </format>
    <format dxfId="36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2">
    <format dxfId="369">
      <pivotArea outline="0" collapsedLevelsAreSubtotals="1" fieldPosition="0"/>
    </format>
    <format dxfId="3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h="1" x="1"/>
        <item h="1" x="0"/>
        <item h="1" x="3"/>
        <item x="2"/>
        <item t="default"/>
      </items>
    </pivotField>
    <pivotField showAll="0"/>
    <pivotField dataField="1"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2">
    <format dxfId="371">
      <pivotArea outline="0" collapsedLevelsAreSubtotals="1" fieldPosition="0"/>
    </format>
    <format dxfId="3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1:G15" firstHeaderRow="1" firstDataRow="1" firstDataCol="1"/>
  <pivotFields count="14">
    <pivotField dataField="1"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3">
    <format dxfId="374">
      <pivotArea outline="0" collapsedLevelsAreSubtotals="1" fieldPosition="0"/>
    </format>
    <format dxfId="373">
      <pivotArea outline="0" collapsedLevelsAreSubtotals="1" fieldPosition="0"/>
    </format>
    <format dxfId="372">
      <pivotArea outline="0" fieldPosition="0">
        <references count="1">
          <reference field="4294967294" count="1">
            <x v="0"/>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i x="0"/>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381"/>
    <tableColumn id="2" xr3:uid="{73D6599E-5768-4CC9-9728-EBCE316C9324}" uniqueName="2" name="Name" queryTableFieldId="2" dataDxfId="380"/>
    <tableColumn id="3" xr3:uid="{1EFFD365-95F7-429E-9CC5-B2B043D41760}" uniqueName="3" name="Gender" queryTableFieldId="3" dataDxfId="379"/>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378"/>
    <tableColumn id="7" xr3:uid="{5C9E21EC-0FFB-4CB4-9FE7-3D5989E00E6A}" uniqueName="7" name="Occupation" queryTableFieldId="7" dataDxfId="377"/>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376"/>
    <tableColumn id="11" xr3:uid="{E31E97B3-8D7E-421D-BAAD-C67E0808F634}" uniqueName="11" name="Join_Date" queryTableFieldId="11" dataDxfId="375"/>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zoomScale="85" workbookViewId="0">
      <selection activeCell="K18" sqref="K18"/>
    </sheetView>
  </sheetViews>
  <sheetFormatPr defaultRowHeight="14.5" x14ac:dyDescent="0.35"/>
  <cols>
    <col min="1" max="1" width="13.08984375" bestFit="1" customWidth="1"/>
    <col min="2" max="2" width="21.453125" bestFit="1" customWidth="1"/>
    <col min="3" max="3" width="9.36328125" bestFit="1" customWidth="1"/>
    <col min="4" max="4" width="6.1796875" bestFit="1" customWidth="1"/>
    <col min="5" max="5" width="11.1796875" bestFit="1" customWidth="1"/>
    <col min="6" max="6" width="8.81640625" bestFit="1" customWidth="1"/>
    <col min="7" max="7" width="12.90625" bestFit="1" customWidth="1"/>
    <col min="8" max="8" width="9.453125" bestFit="1" customWidth="1"/>
    <col min="9" max="9" width="16.36328125" bestFit="1" customWidth="1"/>
    <col min="10" max="10" width="19.6328125" bestFit="1" customWidth="1"/>
    <col min="11" max="11" width="11.08984375" bestFit="1" customWidth="1"/>
    <col min="12" max="12" width="8.81640625" bestFit="1" customWidth="1"/>
    <col min="13" max="13" width="14.1796875" bestFit="1" customWidth="1"/>
    <col min="14" max="14" width="6.90625" bestFit="1" customWidth="1"/>
  </cols>
  <sheetData>
    <row r="1" spans="1:14" x14ac:dyDescent="0.35">
      <c r="A1" t="s">
        <v>0</v>
      </c>
      <c r="B1" t="s">
        <v>1</v>
      </c>
      <c r="C1" t="s">
        <v>2</v>
      </c>
      <c r="D1" t="s">
        <v>3</v>
      </c>
      <c r="E1" t="s">
        <v>4</v>
      </c>
      <c r="F1" t="s">
        <v>5</v>
      </c>
      <c r="G1" t="s">
        <v>6</v>
      </c>
      <c r="H1" t="s">
        <v>7</v>
      </c>
      <c r="I1" t="s">
        <v>8</v>
      </c>
      <c r="J1" t="s">
        <v>9</v>
      </c>
      <c r="K1" t="s">
        <v>10</v>
      </c>
      <c r="L1" t="s">
        <v>1033</v>
      </c>
      <c r="M1" t="s">
        <v>1034</v>
      </c>
      <c r="N1" t="s">
        <v>1049</v>
      </c>
    </row>
    <row r="2" spans="1:14" x14ac:dyDescent="0.35">
      <c r="A2" t="s">
        <v>11</v>
      </c>
      <c r="B2" t="s">
        <v>12</v>
      </c>
      <c r="C2" t="s">
        <v>13</v>
      </c>
      <c r="D2">
        <v>38</v>
      </c>
      <c r="E2" t="s">
        <v>14</v>
      </c>
      <c r="F2" t="s">
        <v>15</v>
      </c>
      <c r="G2" t="s">
        <v>16</v>
      </c>
      <c r="H2">
        <v>191672</v>
      </c>
      <c r="I2" t="s">
        <v>17</v>
      </c>
      <c r="J2" t="s">
        <v>18</v>
      </c>
      <c r="K2" s="1">
        <v>45041</v>
      </c>
      <c r="L2">
        <v>2</v>
      </c>
      <c r="M2" t="s">
        <v>1035</v>
      </c>
      <c r="N2">
        <v>2023</v>
      </c>
    </row>
    <row r="3" spans="1:14" x14ac:dyDescent="0.35">
      <c r="A3" t="s">
        <v>19</v>
      </c>
      <c r="B3" t="s">
        <v>20</v>
      </c>
      <c r="C3" t="s">
        <v>21</v>
      </c>
      <c r="D3">
        <v>49</v>
      </c>
      <c r="E3" t="s">
        <v>22</v>
      </c>
      <c r="F3" t="s">
        <v>23</v>
      </c>
      <c r="G3" t="s">
        <v>24</v>
      </c>
      <c r="H3">
        <v>186472</v>
      </c>
      <c r="I3" t="s">
        <v>17</v>
      </c>
      <c r="J3" t="s">
        <v>25</v>
      </c>
      <c r="K3" s="1">
        <v>44331</v>
      </c>
      <c r="L3">
        <v>4</v>
      </c>
      <c r="M3" t="s">
        <v>1036</v>
      </c>
      <c r="N3">
        <v>2021</v>
      </c>
    </row>
    <row r="4" spans="1:14" x14ac:dyDescent="0.35">
      <c r="A4" t="s">
        <v>26</v>
      </c>
      <c r="B4" t="s">
        <v>27</v>
      </c>
      <c r="C4" t="s">
        <v>13</v>
      </c>
      <c r="D4">
        <v>40</v>
      </c>
      <c r="E4" t="s">
        <v>14</v>
      </c>
      <c r="F4" t="s">
        <v>15</v>
      </c>
      <c r="G4" t="s">
        <v>28</v>
      </c>
      <c r="H4">
        <v>155566</v>
      </c>
      <c r="I4" t="s">
        <v>17</v>
      </c>
      <c r="J4" t="s">
        <v>29</v>
      </c>
      <c r="K4" s="1">
        <v>43438</v>
      </c>
      <c r="L4">
        <v>7</v>
      </c>
      <c r="M4" t="s">
        <v>1036</v>
      </c>
      <c r="N4">
        <v>2018</v>
      </c>
    </row>
    <row r="5" spans="1:14" x14ac:dyDescent="0.35">
      <c r="A5" t="s">
        <v>30</v>
      </c>
      <c r="B5" t="s">
        <v>31</v>
      </c>
      <c r="C5" t="s">
        <v>13</v>
      </c>
      <c r="D5">
        <v>50</v>
      </c>
      <c r="E5" t="s">
        <v>22</v>
      </c>
      <c r="F5" t="s">
        <v>15</v>
      </c>
      <c r="G5" t="s">
        <v>32</v>
      </c>
      <c r="H5">
        <v>142744</v>
      </c>
      <c r="I5" t="s">
        <v>33</v>
      </c>
      <c r="J5" t="s">
        <v>18</v>
      </c>
      <c r="K5" s="1">
        <v>44494</v>
      </c>
      <c r="L5">
        <v>4</v>
      </c>
      <c r="M5" t="s">
        <v>1036</v>
      </c>
      <c r="N5">
        <v>2021</v>
      </c>
    </row>
    <row r="6" spans="1:14" x14ac:dyDescent="0.35">
      <c r="A6" t="s">
        <v>34</v>
      </c>
      <c r="B6" t="s">
        <v>35</v>
      </c>
      <c r="C6" t="s">
        <v>13</v>
      </c>
      <c r="D6">
        <v>20</v>
      </c>
      <c r="E6" t="s">
        <v>36</v>
      </c>
      <c r="F6" t="s">
        <v>37</v>
      </c>
      <c r="G6" t="s">
        <v>38</v>
      </c>
      <c r="H6">
        <v>109431</v>
      </c>
      <c r="I6" t="s">
        <v>33</v>
      </c>
      <c r="J6" t="s">
        <v>25</v>
      </c>
      <c r="K6" s="1">
        <v>43309</v>
      </c>
      <c r="L6">
        <v>7</v>
      </c>
      <c r="M6" t="s">
        <v>1036</v>
      </c>
      <c r="N6">
        <v>2018</v>
      </c>
    </row>
    <row r="7" spans="1:14" x14ac:dyDescent="0.35">
      <c r="A7" t="s">
        <v>39</v>
      </c>
      <c r="B7" t="s">
        <v>40</v>
      </c>
      <c r="C7" t="s">
        <v>21</v>
      </c>
      <c r="D7">
        <v>35</v>
      </c>
      <c r="E7" t="s">
        <v>14</v>
      </c>
      <c r="F7" t="s">
        <v>41</v>
      </c>
      <c r="G7" t="s">
        <v>28</v>
      </c>
      <c r="H7">
        <v>63001</v>
      </c>
      <c r="I7" t="s">
        <v>42</v>
      </c>
      <c r="J7" t="s">
        <v>18</v>
      </c>
      <c r="K7" s="1">
        <v>42520</v>
      </c>
      <c r="L7">
        <v>9</v>
      </c>
      <c r="M7" t="s">
        <v>1037</v>
      </c>
      <c r="N7">
        <v>2016</v>
      </c>
    </row>
    <row r="8" spans="1:14" x14ac:dyDescent="0.35">
      <c r="A8" t="s">
        <v>43</v>
      </c>
      <c r="B8" t="s">
        <v>44</v>
      </c>
      <c r="C8" t="s">
        <v>13</v>
      </c>
      <c r="D8">
        <v>42</v>
      </c>
      <c r="E8" t="s">
        <v>14</v>
      </c>
      <c r="F8" t="s">
        <v>15</v>
      </c>
      <c r="G8" t="s">
        <v>45</v>
      </c>
      <c r="H8">
        <v>87364</v>
      </c>
      <c r="I8" t="s">
        <v>42</v>
      </c>
      <c r="J8" t="s">
        <v>25</v>
      </c>
      <c r="K8" s="1">
        <v>43026</v>
      </c>
      <c r="L8">
        <v>8</v>
      </c>
      <c r="M8" t="s">
        <v>1037</v>
      </c>
      <c r="N8">
        <v>2017</v>
      </c>
    </row>
    <row r="9" spans="1:14" x14ac:dyDescent="0.35">
      <c r="A9" t="s">
        <v>46</v>
      </c>
      <c r="B9" t="s">
        <v>47</v>
      </c>
      <c r="C9" t="s">
        <v>13</v>
      </c>
      <c r="D9">
        <v>59</v>
      </c>
      <c r="E9" t="s">
        <v>22</v>
      </c>
      <c r="F9" t="s">
        <v>15</v>
      </c>
      <c r="G9" t="s">
        <v>45</v>
      </c>
      <c r="H9">
        <v>144988</v>
      </c>
      <c r="I9" t="s">
        <v>33</v>
      </c>
      <c r="J9" t="s">
        <v>18</v>
      </c>
      <c r="K9" s="1">
        <v>45448</v>
      </c>
      <c r="L9">
        <v>1</v>
      </c>
      <c r="M9" t="s">
        <v>1038</v>
      </c>
      <c r="N9">
        <v>2024</v>
      </c>
    </row>
    <row r="10" spans="1:14" x14ac:dyDescent="0.35">
      <c r="A10" t="s">
        <v>48</v>
      </c>
      <c r="B10" t="s">
        <v>49</v>
      </c>
      <c r="C10" t="s">
        <v>13</v>
      </c>
      <c r="D10">
        <v>48</v>
      </c>
      <c r="E10" t="s">
        <v>22</v>
      </c>
      <c r="F10" t="s">
        <v>37</v>
      </c>
      <c r="G10" t="s">
        <v>50</v>
      </c>
      <c r="H10">
        <v>65028</v>
      </c>
      <c r="I10" t="s">
        <v>42</v>
      </c>
      <c r="J10" t="s">
        <v>25</v>
      </c>
      <c r="K10" s="1">
        <v>43507</v>
      </c>
      <c r="L10">
        <v>7</v>
      </c>
      <c r="M10" t="s">
        <v>1036</v>
      </c>
      <c r="N10">
        <v>2019</v>
      </c>
    </row>
    <row r="11" spans="1:14" x14ac:dyDescent="0.35">
      <c r="A11" t="s">
        <v>51</v>
      </c>
      <c r="B11" t="s">
        <v>52</v>
      </c>
      <c r="C11" t="s">
        <v>21</v>
      </c>
      <c r="D11">
        <v>71</v>
      </c>
      <c r="E11" t="s">
        <v>53</v>
      </c>
      <c r="F11" t="s">
        <v>37</v>
      </c>
      <c r="G11" t="s">
        <v>24</v>
      </c>
      <c r="H11">
        <v>188645</v>
      </c>
      <c r="I11" t="s">
        <v>17</v>
      </c>
      <c r="J11" t="s">
        <v>25</v>
      </c>
      <c r="K11" s="1">
        <v>42405</v>
      </c>
      <c r="L11">
        <v>10</v>
      </c>
      <c r="M11" t="s">
        <v>1037</v>
      </c>
      <c r="N11">
        <v>2016</v>
      </c>
    </row>
    <row r="12" spans="1:14" x14ac:dyDescent="0.35">
      <c r="A12" t="s">
        <v>54</v>
      </c>
      <c r="B12" t="s">
        <v>55</v>
      </c>
      <c r="C12" t="s">
        <v>13</v>
      </c>
      <c r="D12">
        <v>20</v>
      </c>
      <c r="E12" t="s">
        <v>36</v>
      </c>
      <c r="F12" t="s">
        <v>41</v>
      </c>
      <c r="G12" t="s">
        <v>16</v>
      </c>
      <c r="H12">
        <v>151878</v>
      </c>
      <c r="I12" t="s">
        <v>17</v>
      </c>
      <c r="J12" t="s">
        <v>29</v>
      </c>
      <c r="K12" s="1">
        <v>42781</v>
      </c>
      <c r="L12">
        <v>9</v>
      </c>
      <c r="M12" t="s">
        <v>1037</v>
      </c>
      <c r="N12">
        <v>2017</v>
      </c>
    </row>
    <row r="13" spans="1:14" x14ac:dyDescent="0.35">
      <c r="A13" t="s">
        <v>56</v>
      </c>
      <c r="B13" t="s">
        <v>57</v>
      </c>
      <c r="C13" t="s">
        <v>13</v>
      </c>
      <c r="D13">
        <v>57</v>
      </c>
      <c r="E13" t="s">
        <v>22</v>
      </c>
      <c r="F13" t="s">
        <v>37</v>
      </c>
      <c r="G13" t="s">
        <v>24</v>
      </c>
      <c r="H13">
        <v>144343</v>
      </c>
      <c r="I13" t="s">
        <v>33</v>
      </c>
      <c r="J13" t="s">
        <v>25</v>
      </c>
      <c r="K13" s="1">
        <v>45280</v>
      </c>
      <c r="L13">
        <v>2</v>
      </c>
      <c r="M13" t="s">
        <v>1035</v>
      </c>
      <c r="N13">
        <v>2023</v>
      </c>
    </row>
    <row r="14" spans="1:14" x14ac:dyDescent="0.35">
      <c r="A14" t="s">
        <v>58</v>
      </c>
      <c r="B14" t="s">
        <v>59</v>
      </c>
      <c r="C14" t="s">
        <v>13</v>
      </c>
      <c r="D14">
        <v>63</v>
      </c>
      <c r="E14" t="s">
        <v>53</v>
      </c>
      <c r="F14" t="s">
        <v>23</v>
      </c>
      <c r="G14" t="s">
        <v>24</v>
      </c>
      <c r="H14">
        <v>148301</v>
      </c>
      <c r="I14" t="s">
        <v>33</v>
      </c>
      <c r="J14" t="s">
        <v>18</v>
      </c>
      <c r="K14" s="1">
        <v>45018</v>
      </c>
      <c r="L14">
        <v>3</v>
      </c>
      <c r="M14" t="s">
        <v>1035</v>
      </c>
      <c r="N14">
        <v>2023</v>
      </c>
    </row>
    <row r="15" spans="1:14" x14ac:dyDescent="0.35">
      <c r="A15" t="s">
        <v>60</v>
      </c>
      <c r="B15" t="s">
        <v>61</v>
      </c>
      <c r="C15" t="s">
        <v>13</v>
      </c>
      <c r="D15">
        <v>41</v>
      </c>
      <c r="E15" t="s">
        <v>14</v>
      </c>
      <c r="F15" t="s">
        <v>37</v>
      </c>
      <c r="G15" t="s">
        <v>24</v>
      </c>
      <c r="H15">
        <v>146295</v>
      </c>
      <c r="I15" t="s">
        <v>33</v>
      </c>
      <c r="J15" t="s">
        <v>25</v>
      </c>
      <c r="K15" s="1">
        <v>42960</v>
      </c>
      <c r="L15">
        <v>8</v>
      </c>
      <c r="M15" t="s">
        <v>1037</v>
      </c>
      <c r="N15">
        <v>2017</v>
      </c>
    </row>
    <row r="16" spans="1:14" x14ac:dyDescent="0.35">
      <c r="A16" t="s">
        <v>62</v>
      </c>
      <c r="B16" t="s">
        <v>63</v>
      </c>
      <c r="C16" t="s">
        <v>21</v>
      </c>
      <c r="D16">
        <v>67</v>
      </c>
      <c r="E16" t="s">
        <v>53</v>
      </c>
      <c r="F16" t="s">
        <v>23</v>
      </c>
      <c r="G16" t="s">
        <v>24</v>
      </c>
      <c r="H16">
        <v>180829</v>
      </c>
      <c r="I16" t="s">
        <v>17</v>
      </c>
      <c r="J16" t="s">
        <v>25</v>
      </c>
      <c r="K16" s="1">
        <v>43673</v>
      </c>
      <c r="L16">
        <v>6</v>
      </c>
      <c r="M16" t="s">
        <v>1036</v>
      </c>
      <c r="N16">
        <v>2019</v>
      </c>
    </row>
    <row r="17" spans="1:14" x14ac:dyDescent="0.35">
      <c r="A17" t="s">
        <v>64</v>
      </c>
      <c r="B17" t="s">
        <v>65</v>
      </c>
      <c r="C17" t="s">
        <v>13</v>
      </c>
      <c r="D17">
        <v>49</v>
      </c>
      <c r="E17" t="s">
        <v>22</v>
      </c>
      <c r="F17" t="s">
        <v>41</v>
      </c>
      <c r="G17" t="s">
        <v>32</v>
      </c>
      <c r="H17">
        <v>54636</v>
      </c>
      <c r="I17" t="s">
        <v>42</v>
      </c>
      <c r="J17" t="s">
        <v>18</v>
      </c>
      <c r="K17" s="1">
        <v>43643</v>
      </c>
      <c r="L17">
        <v>6</v>
      </c>
      <c r="M17" t="s">
        <v>1036</v>
      </c>
      <c r="N17">
        <v>2019</v>
      </c>
    </row>
    <row r="18" spans="1:14" x14ac:dyDescent="0.35">
      <c r="A18" t="s">
        <v>66</v>
      </c>
      <c r="B18" t="s">
        <v>67</v>
      </c>
      <c r="C18" t="s">
        <v>21</v>
      </c>
      <c r="D18">
        <v>64</v>
      </c>
      <c r="E18" t="s">
        <v>53</v>
      </c>
      <c r="F18" t="s">
        <v>41</v>
      </c>
      <c r="G18" t="s">
        <v>32</v>
      </c>
      <c r="H18">
        <v>199352</v>
      </c>
      <c r="I18" t="s">
        <v>17</v>
      </c>
      <c r="J18" t="s">
        <v>18</v>
      </c>
      <c r="K18" s="1">
        <v>44375</v>
      </c>
      <c r="L18">
        <v>4</v>
      </c>
      <c r="M18" t="s">
        <v>1036</v>
      </c>
      <c r="N18">
        <v>2021</v>
      </c>
    </row>
    <row r="19" spans="1:14" x14ac:dyDescent="0.35">
      <c r="A19" t="s">
        <v>68</v>
      </c>
      <c r="B19" t="s">
        <v>69</v>
      </c>
      <c r="C19" t="s">
        <v>21</v>
      </c>
      <c r="D19">
        <v>39</v>
      </c>
      <c r="E19" t="s">
        <v>14</v>
      </c>
      <c r="F19" t="s">
        <v>41</v>
      </c>
      <c r="G19" t="s">
        <v>50</v>
      </c>
      <c r="H19">
        <v>44262</v>
      </c>
      <c r="I19" t="s">
        <v>42</v>
      </c>
      <c r="J19" t="s">
        <v>29</v>
      </c>
      <c r="K19" s="1">
        <v>45728</v>
      </c>
      <c r="L19">
        <v>1</v>
      </c>
      <c r="M19" t="s">
        <v>1038</v>
      </c>
      <c r="N19">
        <v>2025</v>
      </c>
    </row>
    <row r="20" spans="1:14" x14ac:dyDescent="0.35">
      <c r="A20" t="s">
        <v>70</v>
      </c>
      <c r="B20" t="s">
        <v>71</v>
      </c>
      <c r="C20" t="s">
        <v>21</v>
      </c>
      <c r="D20">
        <v>40</v>
      </c>
      <c r="E20" t="s">
        <v>14</v>
      </c>
      <c r="F20" t="s">
        <v>41</v>
      </c>
      <c r="G20" t="s">
        <v>28</v>
      </c>
      <c r="H20">
        <v>100435</v>
      </c>
      <c r="I20" t="s">
        <v>33</v>
      </c>
      <c r="J20" t="s">
        <v>25</v>
      </c>
      <c r="K20" s="1">
        <v>44456</v>
      </c>
      <c r="L20">
        <v>4</v>
      </c>
      <c r="M20" t="s">
        <v>1036</v>
      </c>
      <c r="N20">
        <v>2021</v>
      </c>
    </row>
    <row r="21" spans="1:14" x14ac:dyDescent="0.35">
      <c r="A21" t="s">
        <v>72</v>
      </c>
      <c r="B21" t="s">
        <v>73</v>
      </c>
      <c r="C21" t="s">
        <v>13</v>
      </c>
      <c r="D21">
        <v>19</v>
      </c>
      <c r="E21" t="s">
        <v>36</v>
      </c>
      <c r="F21" t="s">
        <v>41</v>
      </c>
      <c r="G21" t="s">
        <v>45</v>
      </c>
      <c r="H21">
        <v>148583</v>
      </c>
      <c r="I21" t="s">
        <v>33</v>
      </c>
      <c r="J21" t="s">
        <v>25</v>
      </c>
      <c r="K21" s="1">
        <v>45058</v>
      </c>
      <c r="L21">
        <v>2</v>
      </c>
      <c r="M21" t="s">
        <v>1035</v>
      </c>
      <c r="N21">
        <v>2023</v>
      </c>
    </row>
    <row r="22" spans="1:14" x14ac:dyDescent="0.35">
      <c r="A22" t="s">
        <v>74</v>
      </c>
      <c r="B22" t="s">
        <v>75</v>
      </c>
      <c r="C22" t="s">
        <v>21</v>
      </c>
      <c r="D22">
        <v>44</v>
      </c>
      <c r="E22" t="s">
        <v>14</v>
      </c>
      <c r="F22" t="s">
        <v>23</v>
      </c>
      <c r="G22" t="s">
        <v>24</v>
      </c>
      <c r="H22">
        <v>189269</v>
      </c>
      <c r="I22" t="s">
        <v>17</v>
      </c>
      <c r="J22" t="s">
        <v>18</v>
      </c>
      <c r="K22" s="1">
        <v>45414</v>
      </c>
      <c r="L22">
        <v>1</v>
      </c>
      <c r="M22" t="s">
        <v>1038</v>
      </c>
      <c r="N22">
        <v>2024</v>
      </c>
    </row>
    <row r="23" spans="1:14" x14ac:dyDescent="0.35">
      <c r="A23" t="s">
        <v>76</v>
      </c>
      <c r="B23" t="s">
        <v>77</v>
      </c>
      <c r="C23" t="s">
        <v>13</v>
      </c>
      <c r="D23">
        <v>59</v>
      </c>
      <c r="E23" t="s">
        <v>22</v>
      </c>
      <c r="F23" t="s">
        <v>23</v>
      </c>
      <c r="G23" t="s">
        <v>50</v>
      </c>
      <c r="H23">
        <v>61844</v>
      </c>
      <c r="I23" t="s">
        <v>42</v>
      </c>
      <c r="J23" t="s">
        <v>25</v>
      </c>
      <c r="K23" s="1">
        <v>45118</v>
      </c>
      <c r="L23">
        <v>2</v>
      </c>
      <c r="M23" t="s">
        <v>1035</v>
      </c>
      <c r="N23">
        <v>2023</v>
      </c>
    </row>
    <row r="24" spans="1:14" x14ac:dyDescent="0.35">
      <c r="A24" t="s">
        <v>78</v>
      </c>
      <c r="B24" t="s">
        <v>79</v>
      </c>
      <c r="C24" t="s">
        <v>21</v>
      </c>
      <c r="D24">
        <v>19</v>
      </c>
      <c r="E24" t="s">
        <v>36</v>
      </c>
      <c r="F24" t="s">
        <v>41</v>
      </c>
      <c r="G24" t="s">
        <v>28</v>
      </c>
      <c r="H24">
        <v>84754</v>
      </c>
      <c r="I24" t="s">
        <v>42</v>
      </c>
      <c r="J24" t="s">
        <v>18</v>
      </c>
      <c r="K24" s="1">
        <v>44745</v>
      </c>
      <c r="L24">
        <v>3</v>
      </c>
      <c r="M24" t="s">
        <v>1035</v>
      </c>
      <c r="N24">
        <v>2022</v>
      </c>
    </row>
    <row r="25" spans="1:14" x14ac:dyDescent="0.35">
      <c r="A25" t="s">
        <v>80</v>
      </c>
      <c r="B25" t="s">
        <v>81</v>
      </c>
      <c r="C25" t="s">
        <v>21</v>
      </c>
      <c r="D25">
        <v>43</v>
      </c>
      <c r="E25" t="s">
        <v>14</v>
      </c>
      <c r="F25" t="s">
        <v>37</v>
      </c>
      <c r="G25" t="s">
        <v>45</v>
      </c>
      <c r="H25">
        <v>185229</v>
      </c>
      <c r="I25" t="s">
        <v>17</v>
      </c>
      <c r="J25" t="s">
        <v>25</v>
      </c>
      <c r="K25" s="1">
        <v>42765</v>
      </c>
      <c r="L25">
        <v>9</v>
      </c>
      <c r="M25" t="s">
        <v>1037</v>
      </c>
      <c r="N25">
        <v>2017</v>
      </c>
    </row>
    <row r="26" spans="1:14" x14ac:dyDescent="0.35">
      <c r="A26" t="s">
        <v>82</v>
      </c>
      <c r="B26" t="s">
        <v>83</v>
      </c>
      <c r="C26" t="s">
        <v>21</v>
      </c>
      <c r="D26">
        <v>34</v>
      </c>
      <c r="E26" t="s">
        <v>14</v>
      </c>
      <c r="F26" t="s">
        <v>15</v>
      </c>
      <c r="G26" t="s">
        <v>38</v>
      </c>
      <c r="H26">
        <v>97129</v>
      </c>
      <c r="I26" t="s">
        <v>42</v>
      </c>
      <c r="J26" t="s">
        <v>18</v>
      </c>
      <c r="K26" s="1">
        <v>43718</v>
      </c>
      <c r="L26">
        <v>6</v>
      </c>
      <c r="M26" t="s">
        <v>1036</v>
      </c>
      <c r="N26">
        <v>2019</v>
      </c>
    </row>
    <row r="27" spans="1:14" x14ac:dyDescent="0.35">
      <c r="A27" t="s">
        <v>84</v>
      </c>
      <c r="B27" t="s">
        <v>85</v>
      </c>
      <c r="C27" t="s">
        <v>21</v>
      </c>
      <c r="D27">
        <v>57</v>
      </c>
      <c r="E27" t="s">
        <v>22</v>
      </c>
      <c r="F27" t="s">
        <v>41</v>
      </c>
      <c r="G27" t="s">
        <v>16</v>
      </c>
      <c r="H27">
        <v>60042</v>
      </c>
      <c r="I27" t="s">
        <v>42</v>
      </c>
      <c r="J27" t="s">
        <v>25</v>
      </c>
      <c r="K27" s="1">
        <v>44469</v>
      </c>
      <c r="L27">
        <v>4</v>
      </c>
      <c r="M27" t="s">
        <v>1036</v>
      </c>
      <c r="N27">
        <v>2021</v>
      </c>
    </row>
    <row r="28" spans="1:14" x14ac:dyDescent="0.35">
      <c r="A28" t="s">
        <v>86</v>
      </c>
      <c r="B28" t="s">
        <v>87</v>
      </c>
      <c r="C28" t="s">
        <v>21</v>
      </c>
      <c r="D28">
        <v>50</v>
      </c>
      <c r="E28" t="s">
        <v>22</v>
      </c>
      <c r="F28" t="s">
        <v>37</v>
      </c>
      <c r="G28" t="s">
        <v>32</v>
      </c>
      <c r="H28">
        <v>81665</v>
      </c>
      <c r="I28" t="s">
        <v>42</v>
      </c>
      <c r="J28" t="s">
        <v>29</v>
      </c>
      <c r="K28" s="1">
        <v>42607</v>
      </c>
      <c r="L28">
        <v>9</v>
      </c>
      <c r="M28" t="s">
        <v>1037</v>
      </c>
      <c r="N28">
        <v>2016</v>
      </c>
    </row>
    <row r="29" spans="1:14" x14ac:dyDescent="0.35">
      <c r="A29" t="s">
        <v>88</v>
      </c>
      <c r="B29" t="s">
        <v>89</v>
      </c>
      <c r="C29" t="s">
        <v>21</v>
      </c>
      <c r="D29">
        <v>26</v>
      </c>
      <c r="E29" t="s">
        <v>36</v>
      </c>
      <c r="F29" t="s">
        <v>15</v>
      </c>
      <c r="G29" t="s">
        <v>38</v>
      </c>
      <c r="H29">
        <v>136953</v>
      </c>
      <c r="I29" t="s">
        <v>33</v>
      </c>
      <c r="J29" t="s">
        <v>18</v>
      </c>
      <c r="K29" s="1">
        <v>43698</v>
      </c>
      <c r="L29">
        <v>6</v>
      </c>
      <c r="M29" t="s">
        <v>1036</v>
      </c>
      <c r="N29">
        <v>2019</v>
      </c>
    </row>
    <row r="30" spans="1:14" x14ac:dyDescent="0.35">
      <c r="A30" t="s">
        <v>90</v>
      </c>
      <c r="B30" t="s">
        <v>91</v>
      </c>
      <c r="C30" t="s">
        <v>21</v>
      </c>
      <c r="D30">
        <v>60</v>
      </c>
      <c r="E30" t="s">
        <v>22</v>
      </c>
      <c r="F30" t="s">
        <v>41</v>
      </c>
      <c r="G30" t="s">
        <v>45</v>
      </c>
      <c r="H30">
        <v>178448</v>
      </c>
      <c r="I30" t="s">
        <v>17</v>
      </c>
      <c r="J30" t="s">
        <v>29</v>
      </c>
      <c r="K30" s="1">
        <v>44834</v>
      </c>
      <c r="L30">
        <v>3</v>
      </c>
      <c r="M30" t="s">
        <v>1035</v>
      </c>
      <c r="N30">
        <v>2022</v>
      </c>
    </row>
    <row r="31" spans="1:14" x14ac:dyDescent="0.35">
      <c r="A31" t="s">
        <v>92</v>
      </c>
      <c r="B31" t="s">
        <v>93</v>
      </c>
      <c r="C31" t="s">
        <v>21</v>
      </c>
      <c r="D31">
        <v>71</v>
      </c>
      <c r="E31" t="s">
        <v>53</v>
      </c>
      <c r="F31" t="s">
        <v>41</v>
      </c>
      <c r="G31" t="s">
        <v>38</v>
      </c>
      <c r="H31">
        <v>165271</v>
      </c>
      <c r="I31" t="s">
        <v>17</v>
      </c>
      <c r="J31" t="s">
        <v>18</v>
      </c>
      <c r="K31" s="1">
        <v>44109</v>
      </c>
      <c r="L31">
        <v>5</v>
      </c>
      <c r="M31" t="s">
        <v>1036</v>
      </c>
      <c r="N31">
        <v>2020</v>
      </c>
    </row>
    <row r="32" spans="1:14" x14ac:dyDescent="0.35">
      <c r="A32" t="s">
        <v>94</v>
      </c>
      <c r="B32" t="s">
        <v>95</v>
      </c>
      <c r="C32" t="s">
        <v>13</v>
      </c>
      <c r="D32">
        <v>65</v>
      </c>
      <c r="E32" t="s">
        <v>53</v>
      </c>
      <c r="F32" t="s">
        <v>23</v>
      </c>
      <c r="G32" t="s">
        <v>16</v>
      </c>
      <c r="H32">
        <v>138533</v>
      </c>
      <c r="I32" t="s">
        <v>33</v>
      </c>
      <c r="J32" t="s">
        <v>25</v>
      </c>
      <c r="K32" s="1">
        <v>42742</v>
      </c>
      <c r="L32">
        <v>9</v>
      </c>
      <c r="M32" t="s">
        <v>1037</v>
      </c>
      <c r="N32">
        <v>2017</v>
      </c>
    </row>
    <row r="33" spans="1:14" x14ac:dyDescent="0.35">
      <c r="A33" t="s">
        <v>96</v>
      </c>
      <c r="B33" t="s">
        <v>97</v>
      </c>
      <c r="C33" t="s">
        <v>13</v>
      </c>
      <c r="D33">
        <v>56</v>
      </c>
      <c r="E33" t="s">
        <v>22</v>
      </c>
      <c r="F33" t="s">
        <v>15</v>
      </c>
      <c r="G33" t="s">
        <v>50</v>
      </c>
      <c r="H33">
        <v>93781</v>
      </c>
      <c r="I33" t="s">
        <v>42</v>
      </c>
      <c r="J33" t="s">
        <v>25</v>
      </c>
      <c r="K33" s="1">
        <v>42565</v>
      </c>
      <c r="L33">
        <v>9</v>
      </c>
      <c r="M33" t="s">
        <v>1037</v>
      </c>
      <c r="N33">
        <v>2016</v>
      </c>
    </row>
    <row r="34" spans="1:14" x14ac:dyDescent="0.35">
      <c r="A34" t="s">
        <v>98</v>
      </c>
      <c r="B34" t="s">
        <v>99</v>
      </c>
      <c r="C34" t="s">
        <v>21</v>
      </c>
      <c r="D34">
        <v>46</v>
      </c>
      <c r="E34" t="s">
        <v>22</v>
      </c>
      <c r="F34" t="s">
        <v>15</v>
      </c>
      <c r="G34" t="s">
        <v>45</v>
      </c>
      <c r="H34">
        <v>86262</v>
      </c>
      <c r="I34" t="s">
        <v>42</v>
      </c>
      <c r="J34" t="s">
        <v>18</v>
      </c>
      <c r="K34" s="1">
        <v>43698</v>
      </c>
      <c r="L34">
        <v>6</v>
      </c>
      <c r="M34" t="s">
        <v>1036</v>
      </c>
      <c r="N34">
        <v>2019</v>
      </c>
    </row>
    <row r="35" spans="1:14" x14ac:dyDescent="0.35">
      <c r="A35" t="s">
        <v>100</v>
      </c>
      <c r="B35" t="s">
        <v>101</v>
      </c>
      <c r="C35" t="s">
        <v>21</v>
      </c>
      <c r="D35">
        <v>59</v>
      </c>
      <c r="E35" t="s">
        <v>22</v>
      </c>
      <c r="F35" t="s">
        <v>37</v>
      </c>
      <c r="G35" t="s">
        <v>38</v>
      </c>
      <c r="H35">
        <v>66600</v>
      </c>
      <c r="I35" t="s">
        <v>42</v>
      </c>
      <c r="J35" t="s">
        <v>25</v>
      </c>
      <c r="K35" s="1">
        <v>44513</v>
      </c>
      <c r="L35">
        <v>4</v>
      </c>
      <c r="M35" t="s">
        <v>1036</v>
      </c>
      <c r="N35">
        <v>2021</v>
      </c>
    </row>
    <row r="36" spans="1:14" x14ac:dyDescent="0.35">
      <c r="A36" t="s">
        <v>102</v>
      </c>
      <c r="B36" t="s">
        <v>103</v>
      </c>
      <c r="C36" t="s">
        <v>21</v>
      </c>
      <c r="D36">
        <v>72</v>
      </c>
      <c r="E36" t="s">
        <v>53</v>
      </c>
      <c r="F36" t="s">
        <v>23</v>
      </c>
      <c r="G36" t="s">
        <v>32</v>
      </c>
      <c r="H36">
        <v>96898</v>
      </c>
      <c r="I36" t="s">
        <v>42</v>
      </c>
      <c r="J36" t="s">
        <v>25</v>
      </c>
      <c r="K36" s="1">
        <v>42533</v>
      </c>
      <c r="L36">
        <v>9</v>
      </c>
      <c r="M36" t="s">
        <v>1037</v>
      </c>
      <c r="N36">
        <v>2016</v>
      </c>
    </row>
    <row r="37" spans="1:14" x14ac:dyDescent="0.35">
      <c r="A37" t="s">
        <v>104</v>
      </c>
      <c r="B37" t="s">
        <v>105</v>
      </c>
      <c r="C37" t="s">
        <v>13</v>
      </c>
      <c r="D37">
        <v>43</v>
      </c>
      <c r="E37" t="s">
        <v>14</v>
      </c>
      <c r="F37" t="s">
        <v>23</v>
      </c>
      <c r="G37" t="s">
        <v>32</v>
      </c>
      <c r="H37">
        <v>169369</v>
      </c>
      <c r="I37" t="s">
        <v>17</v>
      </c>
      <c r="J37" t="s">
        <v>18</v>
      </c>
      <c r="K37" s="1">
        <v>42902</v>
      </c>
      <c r="L37">
        <v>8</v>
      </c>
      <c r="M37" t="s">
        <v>1037</v>
      </c>
      <c r="N37">
        <v>2017</v>
      </c>
    </row>
    <row r="38" spans="1:14" x14ac:dyDescent="0.35">
      <c r="A38" t="s">
        <v>106</v>
      </c>
      <c r="B38" t="s">
        <v>107</v>
      </c>
      <c r="C38" t="s">
        <v>21</v>
      </c>
      <c r="D38">
        <v>52</v>
      </c>
      <c r="E38" t="s">
        <v>22</v>
      </c>
      <c r="F38" t="s">
        <v>23</v>
      </c>
      <c r="G38" t="s">
        <v>28</v>
      </c>
      <c r="H38">
        <v>50448</v>
      </c>
      <c r="I38" t="s">
        <v>42</v>
      </c>
      <c r="J38" t="s">
        <v>18</v>
      </c>
      <c r="K38" s="1">
        <v>42922</v>
      </c>
      <c r="L38">
        <v>8</v>
      </c>
      <c r="M38" t="s">
        <v>1037</v>
      </c>
      <c r="N38">
        <v>2017</v>
      </c>
    </row>
    <row r="39" spans="1:14" x14ac:dyDescent="0.35">
      <c r="A39" t="s">
        <v>108</v>
      </c>
      <c r="B39" t="s">
        <v>109</v>
      </c>
      <c r="C39" t="s">
        <v>13</v>
      </c>
      <c r="D39">
        <v>67</v>
      </c>
      <c r="E39" t="s">
        <v>53</v>
      </c>
      <c r="F39" t="s">
        <v>23</v>
      </c>
      <c r="G39" t="s">
        <v>38</v>
      </c>
      <c r="H39">
        <v>46172</v>
      </c>
      <c r="I39" t="s">
        <v>42</v>
      </c>
      <c r="J39" t="s">
        <v>25</v>
      </c>
      <c r="K39" s="1">
        <v>44507</v>
      </c>
      <c r="L39">
        <v>4</v>
      </c>
      <c r="M39" t="s">
        <v>1036</v>
      </c>
      <c r="N39">
        <v>2021</v>
      </c>
    </row>
    <row r="40" spans="1:14" x14ac:dyDescent="0.35">
      <c r="A40" t="s">
        <v>110</v>
      </c>
      <c r="B40" t="s">
        <v>111</v>
      </c>
      <c r="C40" t="s">
        <v>13</v>
      </c>
      <c r="D40">
        <v>42</v>
      </c>
      <c r="E40" t="s">
        <v>14</v>
      </c>
      <c r="F40" t="s">
        <v>15</v>
      </c>
      <c r="G40" t="s">
        <v>24</v>
      </c>
      <c r="H40">
        <v>193946</v>
      </c>
      <c r="I40" t="s">
        <v>17</v>
      </c>
      <c r="J40" t="s">
        <v>25</v>
      </c>
      <c r="K40" s="1">
        <v>44074</v>
      </c>
      <c r="L40">
        <v>5</v>
      </c>
      <c r="M40" t="s">
        <v>1036</v>
      </c>
      <c r="N40">
        <v>2020</v>
      </c>
    </row>
    <row r="41" spans="1:14" x14ac:dyDescent="0.35">
      <c r="A41" t="s">
        <v>112</v>
      </c>
      <c r="B41" t="s">
        <v>113</v>
      </c>
      <c r="C41" t="s">
        <v>13</v>
      </c>
      <c r="D41">
        <v>41</v>
      </c>
      <c r="E41" t="s">
        <v>14</v>
      </c>
      <c r="F41" t="s">
        <v>15</v>
      </c>
      <c r="G41" t="s">
        <v>38</v>
      </c>
      <c r="H41">
        <v>27657</v>
      </c>
      <c r="I41" t="s">
        <v>42</v>
      </c>
      <c r="J41" t="s">
        <v>25</v>
      </c>
      <c r="K41" s="1">
        <v>42296</v>
      </c>
      <c r="L41">
        <v>10</v>
      </c>
      <c r="M41" t="s">
        <v>1037</v>
      </c>
      <c r="N41">
        <v>2015</v>
      </c>
    </row>
    <row r="42" spans="1:14" x14ac:dyDescent="0.35">
      <c r="A42" t="s">
        <v>114</v>
      </c>
      <c r="B42" t="s">
        <v>115</v>
      </c>
      <c r="C42" t="s">
        <v>13</v>
      </c>
      <c r="D42">
        <v>30</v>
      </c>
      <c r="E42" t="s">
        <v>14</v>
      </c>
      <c r="F42" t="s">
        <v>41</v>
      </c>
      <c r="G42" t="s">
        <v>50</v>
      </c>
      <c r="H42">
        <v>176497</v>
      </c>
      <c r="I42" t="s">
        <v>17</v>
      </c>
      <c r="J42" t="s">
        <v>25</v>
      </c>
      <c r="K42" s="1">
        <v>42853</v>
      </c>
      <c r="L42">
        <v>8</v>
      </c>
      <c r="M42" t="s">
        <v>1037</v>
      </c>
      <c r="N42">
        <v>2017</v>
      </c>
    </row>
    <row r="43" spans="1:14" x14ac:dyDescent="0.35">
      <c r="A43" t="s">
        <v>116</v>
      </c>
      <c r="B43" t="s">
        <v>117</v>
      </c>
      <c r="C43" t="s">
        <v>13</v>
      </c>
      <c r="D43">
        <v>24</v>
      </c>
      <c r="E43" t="s">
        <v>36</v>
      </c>
      <c r="F43" t="s">
        <v>41</v>
      </c>
      <c r="G43" t="s">
        <v>45</v>
      </c>
      <c r="H43">
        <v>177757</v>
      </c>
      <c r="I43" t="s">
        <v>17</v>
      </c>
      <c r="J43" t="s">
        <v>18</v>
      </c>
      <c r="K43" s="1">
        <v>42576</v>
      </c>
      <c r="L43">
        <v>9</v>
      </c>
      <c r="M43" t="s">
        <v>1037</v>
      </c>
      <c r="N43">
        <v>2016</v>
      </c>
    </row>
    <row r="44" spans="1:14" x14ac:dyDescent="0.35">
      <c r="A44" t="s">
        <v>118</v>
      </c>
      <c r="B44" t="s">
        <v>119</v>
      </c>
      <c r="C44" t="s">
        <v>21</v>
      </c>
      <c r="D44">
        <v>74</v>
      </c>
      <c r="E44" t="s">
        <v>53</v>
      </c>
      <c r="F44" t="s">
        <v>23</v>
      </c>
      <c r="G44" t="s">
        <v>45</v>
      </c>
      <c r="H44">
        <v>132855</v>
      </c>
      <c r="I44" t="s">
        <v>33</v>
      </c>
      <c r="J44" t="s">
        <v>25</v>
      </c>
      <c r="K44" s="1">
        <v>44752</v>
      </c>
      <c r="L44">
        <v>3</v>
      </c>
      <c r="M44" t="s">
        <v>1035</v>
      </c>
      <c r="N44">
        <v>2022</v>
      </c>
    </row>
    <row r="45" spans="1:14" x14ac:dyDescent="0.35">
      <c r="A45" t="s">
        <v>120</v>
      </c>
      <c r="B45" t="s">
        <v>121</v>
      </c>
      <c r="C45" t="s">
        <v>21</v>
      </c>
      <c r="D45">
        <v>53</v>
      </c>
      <c r="E45" t="s">
        <v>22</v>
      </c>
      <c r="F45" t="s">
        <v>23</v>
      </c>
      <c r="G45" t="s">
        <v>50</v>
      </c>
      <c r="H45">
        <v>175650</v>
      </c>
      <c r="I45" t="s">
        <v>17</v>
      </c>
      <c r="J45" t="s">
        <v>18</v>
      </c>
      <c r="K45" s="1">
        <v>44427</v>
      </c>
      <c r="L45">
        <v>4</v>
      </c>
      <c r="M45" t="s">
        <v>1036</v>
      </c>
      <c r="N45">
        <v>2021</v>
      </c>
    </row>
    <row r="46" spans="1:14" x14ac:dyDescent="0.35">
      <c r="A46" t="s">
        <v>122</v>
      </c>
      <c r="B46" t="s">
        <v>123</v>
      </c>
      <c r="C46" t="s">
        <v>21</v>
      </c>
      <c r="D46">
        <v>62</v>
      </c>
      <c r="E46" t="s">
        <v>53</v>
      </c>
      <c r="F46" t="s">
        <v>23</v>
      </c>
      <c r="G46" t="s">
        <v>38</v>
      </c>
      <c r="H46">
        <v>179903</v>
      </c>
      <c r="I46" t="s">
        <v>17</v>
      </c>
      <c r="J46" t="s">
        <v>18</v>
      </c>
      <c r="K46" s="1">
        <v>43636</v>
      </c>
      <c r="L46">
        <v>6</v>
      </c>
      <c r="M46" t="s">
        <v>1036</v>
      </c>
      <c r="N46">
        <v>2019</v>
      </c>
    </row>
    <row r="47" spans="1:14" x14ac:dyDescent="0.35">
      <c r="A47" t="s">
        <v>124</v>
      </c>
      <c r="B47" t="s">
        <v>125</v>
      </c>
      <c r="C47" t="s">
        <v>21</v>
      </c>
      <c r="D47">
        <v>37</v>
      </c>
      <c r="E47" t="s">
        <v>14</v>
      </c>
      <c r="F47" t="s">
        <v>41</v>
      </c>
      <c r="G47" t="s">
        <v>50</v>
      </c>
      <c r="H47">
        <v>27906</v>
      </c>
      <c r="I47" t="s">
        <v>42</v>
      </c>
      <c r="J47" t="s">
        <v>18</v>
      </c>
      <c r="K47" s="1">
        <v>44323</v>
      </c>
      <c r="L47">
        <v>4</v>
      </c>
      <c r="M47" t="s">
        <v>1036</v>
      </c>
      <c r="N47">
        <v>2021</v>
      </c>
    </row>
    <row r="48" spans="1:14" x14ac:dyDescent="0.35">
      <c r="A48" t="s">
        <v>126</v>
      </c>
      <c r="B48" t="s">
        <v>127</v>
      </c>
      <c r="C48" t="s">
        <v>21</v>
      </c>
      <c r="D48">
        <v>18</v>
      </c>
      <c r="E48" t="s">
        <v>36</v>
      </c>
      <c r="F48" t="s">
        <v>37</v>
      </c>
      <c r="G48" t="s">
        <v>16</v>
      </c>
      <c r="H48">
        <v>81413</v>
      </c>
      <c r="I48" t="s">
        <v>42</v>
      </c>
      <c r="J48" t="s">
        <v>18</v>
      </c>
      <c r="K48" s="1">
        <v>42831</v>
      </c>
      <c r="L48">
        <v>9</v>
      </c>
      <c r="M48" t="s">
        <v>1037</v>
      </c>
      <c r="N48">
        <v>2017</v>
      </c>
    </row>
    <row r="49" spans="1:14" x14ac:dyDescent="0.35">
      <c r="A49" t="s">
        <v>128</v>
      </c>
      <c r="B49" t="s">
        <v>129</v>
      </c>
      <c r="C49" t="s">
        <v>13</v>
      </c>
      <c r="D49">
        <v>25</v>
      </c>
      <c r="E49" t="s">
        <v>36</v>
      </c>
      <c r="F49" t="s">
        <v>37</v>
      </c>
      <c r="G49" t="s">
        <v>50</v>
      </c>
      <c r="H49">
        <v>74028</v>
      </c>
      <c r="I49" t="s">
        <v>42</v>
      </c>
      <c r="J49" t="s">
        <v>18</v>
      </c>
      <c r="K49" s="1">
        <v>45478</v>
      </c>
      <c r="L49">
        <v>1</v>
      </c>
      <c r="M49" t="s">
        <v>1038</v>
      </c>
      <c r="N49">
        <v>2024</v>
      </c>
    </row>
    <row r="50" spans="1:14" x14ac:dyDescent="0.35">
      <c r="A50" t="s">
        <v>130</v>
      </c>
      <c r="B50" t="s">
        <v>131</v>
      </c>
      <c r="C50" t="s">
        <v>21</v>
      </c>
      <c r="D50">
        <v>63</v>
      </c>
      <c r="E50" t="s">
        <v>53</v>
      </c>
      <c r="F50" t="s">
        <v>41</v>
      </c>
      <c r="G50" t="s">
        <v>32</v>
      </c>
      <c r="H50">
        <v>27287</v>
      </c>
      <c r="I50" t="s">
        <v>42</v>
      </c>
      <c r="J50" t="s">
        <v>18</v>
      </c>
      <c r="K50" s="1">
        <v>42750</v>
      </c>
      <c r="L50">
        <v>9</v>
      </c>
      <c r="M50" t="s">
        <v>1037</v>
      </c>
      <c r="N50">
        <v>2017</v>
      </c>
    </row>
    <row r="51" spans="1:14" x14ac:dyDescent="0.35">
      <c r="A51" t="s">
        <v>132</v>
      </c>
      <c r="B51" t="s">
        <v>133</v>
      </c>
      <c r="C51" t="s">
        <v>21</v>
      </c>
      <c r="D51">
        <v>33</v>
      </c>
      <c r="E51" t="s">
        <v>14</v>
      </c>
      <c r="F51" t="s">
        <v>41</v>
      </c>
      <c r="G51" t="s">
        <v>50</v>
      </c>
      <c r="H51">
        <v>53660</v>
      </c>
      <c r="I51" t="s">
        <v>42</v>
      </c>
      <c r="J51" t="s">
        <v>25</v>
      </c>
      <c r="K51" s="1">
        <v>44992</v>
      </c>
      <c r="L51">
        <v>3</v>
      </c>
      <c r="M51" t="s">
        <v>1035</v>
      </c>
      <c r="N51">
        <v>2023</v>
      </c>
    </row>
    <row r="52" spans="1:14" x14ac:dyDescent="0.35">
      <c r="A52" t="s">
        <v>134</v>
      </c>
      <c r="B52" t="s">
        <v>135</v>
      </c>
      <c r="C52" t="s">
        <v>13</v>
      </c>
      <c r="D52">
        <v>31</v>
      </c>
      <c r="E52" t="s">
        <v>14</v>
      </c>
      <c r="F52" t="s">
        <v>41</v>
      </c>
      <c r="G52" t="s">
        <v>45</v>
      </c>
      <c r="H52">
        <v>80504</v>
      </c>
      <c r="I52" t="s">
        <v>42</v>
      </c>
      <c r="J52" t="s">
        <v>18</v>
      </c>
      <c r="K52" s="1">
        <v>42622</v>
      </c>
      <c r="L52">
        <v>9</v>
      </c>
      <c r="M52" t="s">
        <v>1037</v>
      </c>
      <c r="N52">
        <v>2016</v>
      </c>
    </row>
    <row r="53" spans="1:14" x14ac:dyDescent="0.35">
      <c r="A53" t="s">
        <v>136</v>
      </c>
      <c r="B53" t="s">
        <v>137</v>
      </c>
      <c r="C53" t="s">
        <v>21</v>
      </c>
      <c r="D53">
        <v>29</v>
      </c>
      <c r="E53" t="s">
        <v>14</v>
      </c>
      <c r="F53" t="s">
        <v>41</v>
      </c>
      <c r="G53" t="s">
        <v>32</v>
      </c>
      <c r="H53">
        <v>122979</v>
      </c>
      <c r="I53" t="s">
        <v>33</v>
      </c>
      <c r="J53" t="s">
        <v>18</v>
      </c>
      <c r="K53" s="1">
        <v>45072</v>
      </c>
      <c r="L53">
        <v>2</v>
      </c>
      <c r="M53" t="s">
        <v>1035</v>
      </c>
      <c r="N53">
        <v>2023</v>
      </c>
    </row>
    <row r="54" spans="1:14" x14ac:dyDescent="0.35">
      <c r="A54" t="s">
        <v>138</v>
      </c>
      <c r="B54" t="s">
        <v>139</v>
      </c>
      <c r="C54" t="s">
        <v>13</v>
      </c>
      <c r="D54">
        <v>68</v>
      </c>
      <c r="E54" t="s">
        <v>53</v>
      </c>
      <c r="F54" t="s">
        <v>41</v>
      </c>
      <c r="G54" t="s">
        <v>45</v>
      </c>
      <c r="H54">
        <v>54701</v>
      </c>
      <c r="I54" t="s">
        <v>42</v>
      </c>
      <c r="J54" t="s">
        <v>18</v>
      </c>
      <c r="K54" s="1">
        <v>44740</v>
      </c>
      <c r="L54">
        <v>3</v>
      </c>
      <c r="M54" t="s">
        <v>1035</v>
      </c>
      <c r="N54">
        <v>2022</v>
      </c>
    </row>
    <row r="55" spans="1:14" x14ac:dyDescent="0.35">
      <c r="A55" t="s">
        <v>140</v>
      </c>
      <c r="B55" t="s">
        <v>141</v>
      </c>
      <c r="C55" t="s">
        <v>21</v>
      </c>
      <c r="D55">
        <v>40</v>
      </c>
      <c r="E55" t="s">
        <v>14</v>
      </c>
      <c r="F55" t="s">
        <v>41</v>
      </c>
      <c r="G55" t="s">
        <v>28</v>
      </c>
      <c r="H55">
        <v>103300</v>
      </c>
      <c r="I55" t="s">
        <v>33</v>
      </c>
      <c r="J55" t="s">
        <v>18</v>
      </c>
      <c r="K55" s="1">
        <v>44107</v>
      </c>
      <c r="L55">
        <v>5</v>
      </c>
      <c r="M55" t="s">
        <v>1036</v>
      </c>
      <c r="N55">
        <v>2020</v>
      </c>
    </row>
    <row r="56" spans="1:14" x14ac:dyDescent="0.35">
      <c r="A56" t="s">
        <v>142</v>
      </c>
      <c r="B56" t="s">
        <v>143</v>
      </c>
      <c r="C56" t="s">
        <v>13</v>
      </c>
      <c r="D56">
        <v>32</v>
      </c>
      <c r="E56" t="s">
        <v>14</v>
      </c>
      <c r="F56" t="s">
        <v>23</v>
      </c>
      <c r="G56" t="s">
        <v>24</v>
      </c>
      <c r="H56">
        <v>168746</v>
      </c>
      <c r="I56" t="s">
        <v>17</v>
      </c>
      <c r="J56" t="s">
        <v>18</v>
      </c>
      <c r="K56" s="1">
        <v>44916</v>
      </c>
      <c r="L56">
        <v>3</v>
      </c>
      <c r="M56" t="s">
        <v>1035</v>
      </c>
      <c r="N56">
        <v>2022</v>
      </c>
    </row>
    <row r="57" spans="1:14" x14ac:dyDescent="0.35">
      <c r="A57" t="s">
        <v>144</v>
      </c>
      <c r="B57" t="s">
        <v>145</v>
      </c>
      <c r="C57" t="s">
        <v>21</v>
      </c>
      <c r="D57">
        <v>45</v>
      </c>
      <c r="E57" t="s">
        <v>22</v>
      </c>
      <c r="F57" t="s">
        <v>23</v>
      </c>
      <c r="G57" t="s">
        <v>45</v>
      </c>
      <c r="H57">
        <v>103560</v>
      </c>
      <c r="I57" t="s">
        <v>33</v>
      </c>
      <c r="J57" t="s">
        <v>18</v>
      </c>
      <c r="K57" s="1">
        <v>44711</v>
      </c>
      <c r="L57">
        <v>3</v>
      </c>
      <c r="M57" t="s">
        <v>1035</v>
      </c>
      <c r="N57">
        <v>2022</v>
      </c>
    </row>
    <row r="58" spans="1:14" x14ac:dyDescent="0.35">
      <c r="A58" t="s">
        <v>146</v>
      </c>
      <c r="B58" t="s">
        <v>147</v>
      </c>
      <c r="C58" t="s">
        <v>21</v>
      </c>
      <c r="D58">
        <v>51</v>
      </c>
      <c r="E58" t="s">
        <v>22</v>
      </c>
      <c r="F58" t="s">
        <v>23</v>
      </c>
      <c r="G58" t="s">
        <v>32</v>
      </c>
      <c r="H58">
        <v>174946</v>
      </c>
      <c r="I58" t="s">
        <v>17</v>
      </c>
      <c r="J58" t="s">
        <v>25</v>
      </c>
      <c r="K58" s="1">
        <v>43671</v>
      </c>
      <c r="L58">
        <v>6</v>
      </c>
      <c r="M58" t="s">
        <v>1036</v>
      </c>
      <c r="N58">
        <v>2019</v>
      </c>
    </row>
    <row r="59" spans="1:14" x14ac:dyDescent="0.35">
      <c r="A59" t="s">
        <v>148</v>
      </c>
      <c r="B59" t="s">
        <v>149</v>
      </c>
      <c r="C59" t="s">
        <v>13</v>
      </c>
      <c r="D59">
        <v>19</v>
      </c>
      <c r="E59" t="s">
        <v>36</v>
      </c>
      <c r="F59" t="s">
        <v>23</v>
      </c>
      <c r="G59" t="s">
        <v>28</v>
      </c>
      <c r="H59">
        <v>63642</v>
      </c>
      <c r="I59" t="s">
        <v>42</v>
      </c>
      <c r="J59" t="s">
        <v>25</v>
      </c>
      <c r="K59" s="1">
        <v>43622</v>
      </c>
      <c r="L59">
        <v>6</v>
      </c>
      <c r="M59" t="s">
        <v>1036</v>
      </c>
      <c r="N59">
        <v>2019</v>
      </c>
    </row>
    <row r="60" spans="1:14" x14ac:dyDescent="0.35">
      <c r="A60" t="s">
        <v>150</v>
      </c>
      <c r="B60" t="s">
        <v>151</v>
      </c>
      <c r="C60" t="s">
        <v>13</v>
      </c>
      <c r="D60">
        <v>49</v>
      </c>
      <c r="E60" t="s">
        <v>22</v>
      </c>
      <c r="F60" t="s">
        <v>41</v>
      </c>
      <c r="G60" t="s">
        <v>45</v>
      </c>
      <c r="H60">
        <v>85160</v>
      </c>
      <c r="I60" t="s">
        <v>42</v>
      </c>
      <c r="J60" t="s">
        <v>25</v>
      </c>
      <c r="K60" s="1">
        <v>45360</v>
      </c>
      <c r="L60">
        <v>2</v>
      </c>
      <c r="M60" t="s">
        <v>1035</v>
      </c>
      <c r="N60">
        <v>2024</v>
      </c>
    </row>
    <row r="61" spans="1:14" x14ac:dyDescent="0.35">
      <c r="A61" t="s">
        <v>152</v>
      </c>
      <c r="B61" t="s">
        <v>153</v>
      </c>
      <c r="C61" t="s">
        <v>13</v>
      </c>
      <c r="D61">
        <v>40</v>
      </c>
      <c r="E61" t="s">
        <v>14</v>
      </c>
      <c r="F61" t="s">
        <v>37</v>
      </c>
      <c r="G61" t="s">
        <v>16</v>
      </c>
      <c r="H61">
        <v>37602</v>
      </c>
      <c r="I61" t="s">
        <v>42</v>
      </c>
      <c r="J61" t="s">
        <v>18</v>
      </c>
      <c r="K61" s="1">
        <v>43415</v>
      </c>
      <c r="L61">
        <v>7</v>
      </c>
      <c r="M61" t="s">
        <v>1036</v>
      </c>
      <c r="N61">
        <v>2018</v>
      </c>
    </row>
    <row r="62" spans="1:14" x14ac:dyDescent="0.35">
      <c r="A62" t="s">
        <v>154</v>
      </c>
      <c r="B62" t="s">
        <v>155</v>
      </c>
      <c r="C62" t="s">
        <v>13</v>
      </c>
      <c r="D62">
        <v>39</v>
      </c>
      <c r="E62" t="s">
        <v>14</v>
      </c>
      <c r="F62" t="s">
        <v>15</v>
      </c>
      <c r="G62" t="s">
        <v>50</v>
      </c>
      <c r="H62">
        <v>123320</v>
      </c>
      <c r="I62" t="s">
        <v>33</v>
      </c>
      <c r="J62" t="s">
        <v>18</v>
      </c>
      <c r="K62" s="1">
        <v>44878</v>
      </c>
      <c r="L62">
        <v>3</v>
      </c>
      <c r="M62" t="s">
        <v>1035</v>
      </c>
      <c r="N62">
        <v>2022</v>
      </c>
    </row>
    <row r="63" spans="1:14" x14ac:dyDescent="0.35">
      <c r="A63" t="s">
        <v>156</v>
      </c>
      <c r="B63" t="s">
        <v>157</v>
      </c>
      <c r="C63" t="s">
        <v>13</v>
      </c>
      <c r="D63">
        <v>68</v>
      </c>
      <c r="E63" t="s">
        <v>53</v>
      </c>
      <c r="F63" t="s">
        <v>41</v>
      </c>
      <c r="G63" t="s">
        <v>24</v>
      </c>
      <c r="H63">
        <v>108801</v>
      </c>
      <c r="I63" t="s">
        <v>33</v>
      </c>
      <c r="J63" t="s">
        <v>25</v>
      </c>
      <c r="K63" s="1">
        <v>45597</v>
      </c>
      <c r="L63">
        <v>1</v>
      </c>
      <c r="M63" t="s">
        <v>1038</v>
      </c>
      <c r="N63">
        <v>2024</v>
      </c>
    </row>
    <row r="64" spans="1:14" x14ac:dyDescent="0.35">
      <c r="A64" t="s">
        <v>158</v>
      </c>
      <c r="B64" t="s">
        <v>159</v>
      </c>
      <c r="C64" t="s">
        <v>13</v>
      </c>
      <c r="D64">
        <v>42</v>
      </c>
      <c r="E64" t="s">
        <v>14</v>
      </c>
      <c r="F64" t="s">
        <v>15</v>
      </c>
      <c r="G64" t="s">
        <v>45</v>
      </c>
      <c r="H64">
        <v>45931</v>
      </c>
      <c r="I64" t="s">
        <v>42</v>
      </c>
      <c r="J64" t="s">
        <v>18</v>
      </c>
      <c r="K64" s="1">
        <v>45042</v>
      </c>
      <c r="L64">
        <v>2</v>
      </c>
      <c r="M64" t="s">
        <v>1035</v>
      </c>
      <c r="N64">
        <v>2023</v>
      </c>
    </row>
    <row r="65" spans="1:14" x14ac:dyDescent="0.35">
      <c r="A65" t="s">
        <v>160</v>
      </c>
      <c r="B65" t="s">
        <v>161</v>
      </c>
      <c r="C65" t="s">
        <v>13</v>
      </c>
      <c r="D65">
        <v>39</v>
      </c>
      <c r="E65" t="s">
        <v>14</v>
      </c>
      <c r="F65" t="s">
        <v>37</v>
      </c>
      <c r="G65" t="s">
        <v>28</v>
      </c>
      <c r="H65">
        <v>114377</v>
      </c>
      <c r="I65" t="s">
        <v>33</v>
      </c>
      <c r="J65" t="s">
        <v>18</v>
      </c>
      <c r="K65" s="1">
        <v>44997</v>
      </c>
      <c r="L65">
        <v>3</v>
      </c>
      <c r="M65" t="s">
        <v>1035</v>
      </c>
      <c r="N65">
        <v>2023</v>
      </c>
    </row>
    <row r="66" spans="1:14" x14ac:dyDescent="0.35">
      <c r="A66" t="s">
        <v>162</v>
      </c>
      <c r="B66" t="s">
        <v>163</v>
      </c>
      <c r="C66" t="s">
        <v>13</v>
      </c>
      <c r="D66">
        <v>39</v>
      </c>
      <c r="E66" t="s">
        <v>14</v>
      </c>
      <c r="F66" t="s">
        <v>23</v>
      </c>
      <c r="G66" t="s">
        <v>16</v>
      </c>
      <c r="H66">
        <v>49192</v>
      </c>
      <c r="I66" t="s">
        <v>42</v>
      </c>
      <c r="J66" t="s">
        <v>18</v>
      </c>
      <c r="K66" s="1">
        <v>44119</v>
      </c>
      <c r="L66">
        <v>5</v>
      </c>
      <c r="M66" t="s">
        <v>1036</v>
      </c>
      <c r="N66">
        <v>2020</v>
      </c>
    </row>
    <row r="67" spans="1:14" x14ac:dyDescent="0.35">
      <c r="A67" t="s">
        <v>164</v>
      </c>
      <c r="B67" t="s">
        <v>165</v>
      </c>
      <c r="C67" t="s">
        <v>21</v>
      </c>
      <c r="D67">
        <v>66</v>
      </c>
      <c r="E67" t="s">
        <v>53</v>
      </c>
      <c r="F67" t="s">
        <v>37</v>
      </c>
      <c r="G67" t="s">
        <v>38</v>
      </c>
      <c r="H67">
        <v>66542</v>
      </c>
      <c r="I67" t="s">
        <v>42</v>
      </c>
      <c r="J67" t="s">
        <v>18</v>
      </c>
      <c r="K67" s="1">
        <v>43091</v>
      </c>
      <c r="L67">
        <v>8</v>
      </c>
      <c r="M67" t="s">
        <v>1037</v>
      </c>
      <c r="N67">
        <v>2017</v>
      </c>
    </row>
    <row r="68" spans="1:14" x14ac:dyDescent="0.35">
      <c r="A68" t="s">
        <v>166</v>
      </c>
      <c r="B68" t="s">
        <v>167</v>
      </c>
      <c r="C68" t="s">
        <v>21</v>
      </c>
      <c r="D68">
        <v>69</v>
      </c>
      <c r="E68" t="s">
        <v>53</v>
      </c>
      <c r="F68" t="s">
        <v>41</v>
      </c>
      <c r="G68" t="s">
        <v>28</v>
      </c>
      <c r="H68">
        <v>147015</v>
      </c>
      <c r="I68" t="s">
        <v>33</v>
      </c>
      <c r="J68" t="s">
        <v>18</v>
      </c>
      <c r="K68" s="1">
        <v>44996</v>
      </c>
      <c r="L68">
        <v>3</v>
      </c>
      <c r="M68" t="s">
        <v>1035</v>
      </c>
      <c r="N68">
        <v>2023</v>
      </c>
    </row>
    <row r="69" spans="1:14" x14ac:dyDescent="0.35">
      <c r="A69" t="s">
        <v>168</v>
      </c>
      <c r="B69" t="s">
        <v>169</v>
      </c>
      <c r="C69" t="s">
        <v>13</v>
      </c>
      <c r="D69">
        <v>59</v>
      </c>
      <c r="E69" t="s">
        <v>22</v>
      </c>
      <c r="F69" t="s">
        <v>23</v>
      </c>
      <c r="G69" t="s">
        <v>50</v>
      </c>
      <c r="H69">
        <v>62520</v>
      </c>
      <c r="I69" t="s">
        <v>42</v>
      </c>
      <c r="J69" t="s">
        <v>18</v>
      </c>
      <c r="K69" s="1">
        <v>43069</v>
      </c>
      <c r="L69">
        <v>8</v>
      </c>
      <c r="M69" t="s">
        <v>1037</v>
      </c>
      <c r="N69">
        <v>2017</v>
      </c>
    </row>
    <row r="70" spans="1:14" x14ac:dyDescent="0.35">
      <c r="A70" t="s">
        <v>170</v>
      </c>
      <c r="B70" t="s">
        <v>171</v>
      </c>
      <c r="C70" t="s">
        <v>21</v>
      </c>
      <c r="D70">
        <v>23</v>
      </c>
      <c r="E70" t="s">
        <v>36</v>
      </c>
      <c r="F70" t="s">
        <v>41</v>
      </c>
      <c r="G70" t="s">
        <v>28</v>
      </c>
      <c r="H70">
        <v>84772</v>
      </c>
      <c r="I70" t="s">
        <v>42</v>
      </c>
      <c r="J70" t="s">
        <v>18</v>
      </c>
      <c r="K70" s="1">
        <v>43341</v>
      </c>
      <c r="L70">
        <v>7</v>
      </c>
      <c r="M70" t="s">
        <v>1036</v>
      </c>
      <c r="N70">
        <v>2018</v>
      </c>
    </row>
    <row r="71" spans="1:14" x14ac:dyDescent="0.35">
      <c r="A71" t="s">
        <v>172</v>
      </c>
      <c r="B71" t="s">
        <v>173</v>
      </c>
      <c r="C71" t="s">
        <v>21</v>
      </c>
      <c r="D71">
        <v>32</v>
      </c>
      <c r="E71" t="s">
        <v>14</v>
      </c>
      <c r="F71" t="s">
        <v>23</v>
      </c>
      <c r="G71" t="s">
        <v>16</v>
      </c>
      <c r="H71">
        <v>70106</v>
      </c>
      <c r="I71" t="s">
        <v>42</v>
      </c>
      <c r="J71" t="s">
        <v>18</v>
      </c>
      <c r="K71" s="1">
        <v>45477</v>
      </c>
      <c r="L71">
        <v>1</v>
      </c>
      <c r="M71" t="s">
        <v>1038</v>
      </c>
      <c r="N71">
        <v>2024</v>
      </c>
    </row>
    <row r="72" spans="1:14" x14ac:dyDescent="0.35">
      <c r="A72" t="s">
        <v>174</v>
      </c>
      <c r="B72" t="s">
        <v>175</v>
      </c>
      <c r="C72" t="s">
        <v>21</v>
      </c>
      <c r="D72">
        <v>71</v>
      </c>
      <c r="E72" t="s">
        <v>53</v>
      </c>
      <c r="F72" t="s">
        <v>15</v>
      </c>
      <c r="G72" t="s">
        <v>28</v>
      </c>
      <c r="H72">
        <v>101121</v>
      </c>
      <c r="I72" t="s">
        <v>33</v>
      </c>
      <c r="J72" t="s">
        <v>25</v>
      </c>
      <c r="K72" s="1">
        <v>45815</v>
      </c>
      <c r="L72">
        <v>0</v>
      </c>
      <c r="M72" t="s">
        <v>1038</v>
      </c>
      <c r="N72">
        <v>2025</v>
      </c>
    </row>
    <row r="73" spans="1:14" x14ac:dyDescent="0.35">
      <c r="A73" t="s">
        <v>176</v>
      </c>
      <c r="B73" t="s">
        <v>177</v>
      </c>
      <c r="C73" t="s">
        <v>21</v>
      </c>
      <c r="D73">
        <v>60</v>
      </c>
      <c r="E73" t="s">
        <v>22</v>
      </c>
      <c r="F73" t="s">
        <v>15</v>
      </c>
      <c r="G73" t="s">
        <v>16</v>
      </c>
      <c r="H73">
        <v>45559</v>
      </c>
      <c r="I73" t="s">
        <v>42</v>
      </c>
      <c r="J73" t="s">
        <v>25</v>
      </c>
      <c r="K73" s="1">
        <v>42457</v>
      </c>
      <c r="L73">
        <v>10</v>
      </c>
      <c r="M73" t="s">
        <v>1037</v>
      </c>
      <c r="N73">
        <v>2016</v>
      </c>
    </row>
    <row r="74" spans="1:14" x14ac:dyDescent="0.35">
      <c r="A74" t="s">
        <v>178</v>
      </c>
      <c r="B74" t="s">
        <v>179</v>
      </c>
      <c r="C74" t="s">
        <v>13</v>
      </c>
      <c r="D74">
        <v>54</v>
      </c>
      <c r="E74" t="s">
        <v>22</v>
      </c>
      <c r="F74" t="s">
        <v>15</v>
      </c>
      <c r="G74" t="s">
        <v>45</v>
      </c>
      <c r="H74">
        <v>125595</v>
      </c>
      <c r="I74" t="s">
        <v>33</v>
      </c>
      <c r="J74" t="s">
        <v>25</v>
      </c>
      <c r="K74" s="1">
        <v>43929</v>
      </c>
      <c r="L74">
        <v>6</v>
      </c>
      <c r="M74" t="s">
        <v>1036</v>
      </c>
      <c r="N74">
        <v>2020</v>
      </c>
    </row>
    <row r="75" spans="1:14" x14ac:dyDescent="0.35">
      <c r="A75" t="s">
        <v>180</v>
      </c>
      <c r="B75" t="s">
        <v>181</v>
      </c>
      <c r="C75" t="s">
        <v>21</v>
      </c>
      <c r="D75">
        <v>50</v>
      </c>
      <c r="E75" t="s">
        <v>22</v>
      </c>
      <c r="F75" t="s">
        <v>37</v>
      </c>
      <c r="G75" t="s">
        <v>16</v>
      </c>
      <c r="H75">
        <v>53742</v>
      </c>
      <c r="I75" t="s">
        <v>42</v>
      </c>
      <c r="J75" t="s">
        <v>25</v>
      </c>
      <c r="K75" s="1">
        <v>45677</v>
      </c>
      <c r="L75">
        <v>1</v>
      </c>
      <c r="M75" t="s">
        <v>1038</v>
      </c>
      <c r="N75">
        <v>2025</v>
      </c>
    </row>
    <row r="76" spans="1:14" x14ac:dyDescent="0.35">
      <c r="A76" t="s">
        <v>182</v>
      </c>
      <c r="B76" t="s">
        <v>183</v>
      </c>
      <c r="C76" t="s">
        <v>13</v>
      </c>
      <c r="D76">
        <v>25</v>
      </c>
      <c r="E76" t="s">
        <v>36</v>
      </c>
      <c r="F76" t="s">
        <v>41</v>
      </c>
      <c r="G76" t="s">
        <v>16</v>
      </c>
      <c r="H76">
        <v>89669</v>
      </c>
      <c r="I76" t="s">
        <v>42</v>
      </c>
      <c r="J76" t="s">
        <v>29</v>
      </c>
      <c r="K76" s="1">
        <v>43309</v>
      </c>
      <c r="L76">
        <v>7</v>
      </c>
      <c r="M76" t="s">
        <v>1036</v>
      </c>
      <c r="N76">
        <v>2018</v>
      </c>
    </row>
    <row r="77" spans="1:14" x14ac:dyDescent="0.35">
      <c r="A77" t="s">
        <v>184</v>
      </c>
      <c r="B77" t="s">
        <v>185</v>
      </c>
      <c r="C77" t="s">
        <v>21</v>
      </c>
      <c r="D77">
        <v>70</v>
      </c>
      <c r="E77" t="s">
        <v>53</v>
      </c>
      <c r="F77" t="s">
        <v>37</v>
      </c>
      <c r="G77" t="s">
        <v>24</v>
      </c>
      <c r="H77">
        <v>172826</v>
      </c>
      <c r="I77" t="s">
        <v>17</v>
      </c>
      <c r="J77" t="s">
        <v>18</v>
      </c>
      <c r="K77" s="1">
        <v>42917</v>
      </c>
      <c r="L77">
        <v>8</v>
      </c>
      <c r="M77" t="s">
        <v>1037</v>
      </c>
      <c r="N77">
        <v>2017</v>
      </c>
    </row>
    <row r="78" spans="1:14" x14ac:dyDescent="0.35">
      <c r="A78" t="s">
        <v>186</v>
      </c>
      <c r="B78" t="s">
        <v>187</v>
      </c>
      <c r="C78" t="s">
        <v>21</v>
      </c>
      <c r="D78">
        <v>61</v>
      </c>
      <c r="E78" t="s">
        <v>53</v>
      </c>
      <c r="F78" t="s">
        <v>15</v>
      </c>
      <c r="G78" t="s">
        <v>16</v>
      </c>
      <c r="H78">
        <v>155044</v>
      </c>
      <c r="I78" t="s">
        <v>17</v>
      </c>
      <c r="J78" t="s">
        <v>18</v>
      </c>
      <c r="K78" s="1">
        <v>44584</v>
      </c>
      <c r="L78">
        <v>4</v>
      </c>
      <c r="M78" t="s">
        <v>1036</v>
      </c>
      <c r="N78">
        <v>2022</v>
      </c>
    </row>
    <row r="79" spans="1:14" x14ac:dyDescent="0.35">
      <c r="A79" t="s">
        <v>188</v>
      </c>
      <c r="B79" t="s">
        <v>189</v>
      </c>
      <c r="C79" t="s">
        <v>21</v>
      </c>
      <c r="D79">
        <v>61</v>
      </c>
      <c r="E79" t="s">
        <v>53</v>
      </c>
      <c r="F79" t="s">
        <v>41</v>
      </c>
      <c r="G79" t="s">
        <v>16</v>
      </c>
      <c r="H79">
        <v>90831</v>
      </c>
      <c r="I79" t="s">
        <v>42</v>
      </c>
      <c r="J79" t="s">
        <v>18</v>
      </c>
      <c r="K79" s="1">
        <v>43302</v>
      </c>
      <c r="L79">
        <v>7</v>
      </c>
      <c r="M79" t="s">
        <v>1036</v>
      </c>
      <c r="N79">
        <v>2018</v>
      </c>
    </row>
    <row r="80" spans="1:14" x14ac:dyDescent="0.35">
      <c r="A80" t="s">
        <v>190</v>
      </c>
      <c r="B80" t="s">
        <v>191</v>
      </c>
      <c r="C80" t="s">
        <v>13</v>
      </c>
      <c r="D80">
        <v>22</v>
      </c>
      <c r="E80" t="s">
        <v>36</v>
      </c>
      <c r="F80" t="s">
        <v>15</v>
      </c>
      <c r="G80" t="s">
        <v>38</v>
      </c>
      <c r="H80">
        <v>132217</v>
      </c>
      <c r="I80" t="s">
        <v>33</v>
      </c>
      <c r="J80" t="s">
        <v>25</v>
      </c>
      <c r="K80" s="1">
        <v>44565</v>
      </c>
      <c r="L80">
        <v>4</v>
      </c>
      <c r="M80" t="s">
        <v>1036</v>
      </c>
      <c r="N80">
        <v>2022</v>
      </c>
    </row>
    <row r="81" spans="1:14" x14ac:dyDescent="0.35">
      <c r="A81" t="s">
        <v>192</v>
      </c>
      <c r="B81" t="s">
        <v>193</v>
      </c>
      <c r="C81" t="s">
        <v>21</v>
      </c>
      <c r="D81">
        <v>56</v>
      </c>
      <c r="E81" t="s">
        <v>22</v>
      </c>
      <c r="F81" t="s">
        <v>37</v>
      </c>
      <c r="G81" t="s">
        <v>45</v>
      </c>
      <c r="H81">
        <v>61873</v>
      </c>
      <c r="I81" t="s">
        <v>42</v>
      </c>
      <c r="J81" t="s">
        <v>25</v>
      </c>
      <c r="K81" s="1">
        <v>43200</v>
      </c>
      <c r="L81">
        <v>8</v>
      </c>
      <c r="M81" t="s">
        <v>1037</v>
      </c>
      <c r="N81">
        <v>2018</v>
      </c>
    </row>
    <row r="82" spans="1:14" x14ac:dyDescent="0.35">
      <c r="A82" t="s">
        <v>194</v>
      </c>
      <c r="B82" t="s">
        <v>195</v>
      </c>
      <c r="C82" t="s">
        <v>13</v>
      </c>
      <c r="D82">
        <v>21</v>
      </c>
      <c r="E82" t="s">
        <v>36</v>
      </c>
      <c r="F82" t="s">
        <v>37</v>
      </c>
      <c r="G82" t="s">
        <v>50</v>
      </c>
      <c r="H82">
        <v>126532</v>
      </c>
      <c r="I82" t="s">
        <v>33</v>
      </c>
      <c r="J82" t="s">
        <v>18</v>
      </c>
      <c r="K82" s="1">
        <v>45011</v>
      </c>
      <c r="L82">
        <v>3</v>
      </c>
      <c r="M82" t="s">
        <v>1035</v>
      </c>
      <c r="N82">
        <v>2023</v>
      </c>
    </row>
    <row r="83" spans="1:14" x14ac:dyDescent="0.35">
      <c r="A83" t="s">
        <v>196</v>
      </c>
      <c r="B83" t="s">
        <v>197</v>
      </c>
      <c r="C83" t="s">
        <v>21</v>
      </c>
      <c r="D83">
        <v>23</v>
      </c>
      <c r="E83" t="s">
        <v>36</v>
      </c>
      <c r="F83" t="s">
        <v>37</v>
      </c>
      <c r="G83" t="s">
        <v>24</v>
      </c>
      <c r="H83">
        <v>146267</v>
      </c>
      <c r="I83" t="s">
        <v>33</v>
      </c>
      <c r="J83" t="s">
        <v>29</v>
      </c>
      <c r="K83" s="1">
        <v>45791</v>
      </c>
      <c r="L83">
        <v>0</v>
      </c>
      <c r="M83" t="s">
        <v>1038</v>
      </c>
      <c r="N83">
        <v>2025</v>
      </c>
    </row>
    <row r="84" spans="1:14" x14ac:dyDescent="0.35">
      <c r="A84" t="s">
        <v>198</v>
      </c>
      <c r="B84" t="s">
        <v>199</v>
      </c>
      <c r="C84" t="s">
        <v>13</v>
      </c>
      <c r="D84">
        <v>62</v>
      </c>
      <c r="E84" t="s">
        <v>53</v>
      </c>
      <c r="F84" t="s">
        <v>15</v>
      </c>
      <c r="G84" t="s">
        <v>38</v>
      </c>
      <c r="H84">
        <v>160975</v>
      </c>
      <c r="I84" t="s">
        <v>17</v>
      </c>
      <c r="J84" t="s">
        <v>18</v>
      </c>
      <c r="K84" s="1">
        <v>44302</v>
      </c>
      <c r="L84">
        <v>5</v>
      </c>
      <c r="M84" t="s">
        <v>1036</v>
      </c>
      <c r="N84">
        <v>2021</v>
      </c>
    </row>
    <row r="85" spans="1:14" x14ac:dyDescent="0.35">
      <c r="A85" t="s">
        <v>200</v>
      </c>
      <c r="B85" t="s">
        <v>201</v>
      </c>
      <c r="C85" t="s">
        <v>21</v>
      </c>
      <c r="D85">
        <v>49</v>
      </c>
      <c r="E85" t="s">
        <v>22</v>
      </c>
      <c r="F85" t="s">
        <v>41</v>
      </c>
      <c r="G85" t="s">
        <v>32</v>
      </c>
      <c r="H85">
        <v>154092</v>
      </c>
      <c r="I85" t="s">
        <v>17</v>
      </c>
      <c r="J85" t="s">
        <v>29</v>
      </c>
      <c r="K85" s="1">
        <v>44288</v>
      </c>
      <c r="L85">
        <v>5</v>
      </c>
      <c r="M85" t="s">
        <v>1036</v>
      </c>
      <c r="N85">
        <v>2021</v>
      </c>
    </row>
    <row r="86" spans="1:14" x14ac:dyDescent="0.35">
      <c r="A86" t="s">
        <v>202</v>
      </c>
      <c r="B86" t="s">
        <v>203</v>
      </c>
      <c r="C86" t="s">
        <v>13</v>
      </c>
      <c r="D86">
        <v>69</v>
      </c>
      <c r="E86" t="s">
        <v>53</v>
      </c>
      <c r="F86" t="s">
        <v>41</v>
      </c>
      <c r="G86" t="s">
        <v>45</v>
      </c>
      <c r="H86">
        <v>61755</v>
      </c>
      <c r="I86" t="s">
        <v>42</v>
      </c>
      <c r="J86" t="s">
        <v>18</v>
      </c>
      <c r="K86" s="1">
        <v>43838</v>
      </c>
      <c r="L86">
        <v>6</v>
      </c>
      <c r="M86" t="s">
        <v>1036</v>
      </c>
      <c r="N86">
        <v>2020</v>
      </c>
    </row>
    <row r="87" spans="1:14" x14ac:dyDescent="0.35">
      <c r="A87" t="s">
        <v>204</v>
      </c>
      <c r="B87" t="s">
        <v>205</v>
      </c>
      <c r="C87" t="s">
        <v>13</v>
      </c>
      <c r="D87">
        <v>47</v>
      </c>
      <c r="E87" t="s">
        <v>22</v>
      </c>
      <c r="F87" t="s">
        <v>15</v>
      </c>
      <c r="G87" t="s">
        <v>45</v>
      </c>
      <c r="H87">
        <v>105956</v>
      </c>
      <c r="I87" t="s">
        <v>33</v>
      </c>
      <c r="J87" t="s">
        <v>18</v>
      </c>
      <c r="K87" s="1">
        <v>44285</v>
      </c>
      <c r="L87">
        <v>5</v>
      </c>
      <c r="M87" t="s">
        <v>1036</v>
      </c>
      <c r="N87">
        <v>2021</v>
      </c>
    </row>
    <row r="88" spans="1:14" x14ac:dyDescent="0.35">
      <c r="A88" t="s">
        <v>206</v>
      </c>
      <c r="B88" t="s">
        <v>207</v>
      </c>
      <c r="C88" t="s">
        <v>21</v>
      </c>
      <c r="D88">
        <v>64</v>
      </c>
      <c r="E88" t="s">
        <v>53</v>
      </c>
      <c r="F88" t="s">
        <v>41</v>
      </c>
      <c r="G88" t="s">
        <v>32</v>
      </c>
      <c r="H88">
        <v>106988</v>
      </c>
      <c r="I88" t="s">
        <v>33</v>
      </c>
      <c r="J88" t="s">
        <v>18</v>
      </c>
      <c r="K88" s="1">
        <v>45811</v>
      </c>
      <c r="L88">
        <v>0</v>
      </c>
      <c r="M88" t="s">
        <v>1038</v>
      </c>
      <c r="N88">
        <v>2025</v>
      </c>
    </row>
    <row r="89" spans="1:14" x14ac:dyDescent="0.35">
      <c r="A89" t="s">
        <v>208</v>
      </c>
      <c r="B89" t="s">
        <v>209</v>
      </c>
      <c r="C89" t="s">
        <v>13</v>
      </c>
      <c r="D89">
        <v>52</v>
      </c>
      <c r="E89" t="s">
        <v>22</v>
      </c>
      <c r="F89" t="s">
        <v>15</v>
      </c>
      <c r="G89" t="s">
        <v>50</v>
      </c>
      <c r="H89">
        <v>65648</v>
      </c>
      <c r="I89" t="s">
        <v>42</v>
      </c>
      <c r="J89" t="s">
        <v>18</v>
      </c>
      <c r="K89" s="1">
        <v>43744</v>
      </c>
      <c r="L89">
        <v>6</v>
      </c>
      <c r="M89" t="s">
        <v>1036</v>
      </c>
      <c r="N89">
        <v>2019</v>
      </c>
    </row>
    <row r="90" spans="1:14" x14ac:dyDescent="0.35">
      <c r="A90" t="s">
        <v>210</v>
      </c>
      <c r="B90" t="s">
        <v>211</v>
      </c>
      <c r="C90" t="s">
        <v>21</v>
      </c>
      <c r="D90">
        <v>72</v>
      </c>
      <c r="E90" t="s">
        <v>53</v>
      </c>
      <c r="F90" t="s">
        <v>41</v>
      </c>
      <c r="G90" t="s">
        <v>16</v>
      </c>
      <c r="H90">
        <v>145991</v>
      </c>
      <c r="I90" t="s">
        <v>33</v>
      </c>
      <c r="J90" t="s">
        <v>18</v>
      </c>
      <c r="K90" s="1">
        <v>44205</v>
      </c>
      <c r="L90">
        <v>5</v>
      </c>
      <c r="M90" t="s">
        <v>1036</v>
      </c>
      <c r="N90">
        <v>2021</v>
      </c>
    </row>
    <row r="91" spans="1:14" x14ac:dyDescent="0.35">
      <c r="A91" t="s">
        <v>212</v>
      </c>
      <c r="B91" t="s">
        <v>213</v>
      </c>
      <c r="C91" t="s">
        <v>21</v>
      </c>
      <c r="D91">
        <v>57</v>
      </c>
      <c r="E91" t="s">
        <v>22</v>
      </c>
      <c r="F91" t="s">
        <v>23</v>
      </c>
      <c r="G91" t="s">
        <v>38</v>
      </c>
      <c r="H91">
        <v>160588</v>
      </c>
      <c r="I91" t="s">
        <v>17</v>
      </c>
      <c r="J91" t="s">
        <v>18</v>
      </c>
      <c r="K91" s="1">
        <v>42239</v>
      </c>
      <c r="L91">
        <v>10</v>
      </c>
      <c r="M91" t="s">
        <v>1037</v>
      </c>
      <c r="N91">
        <v>2015</v>
      </c>
    </row>
    <row r="92" spans="1:14" x14ac:dyDescent="0.35">
      <c r="A92" t="s">
        <v>214</v>
      </c>
      <c r="B92" t="s">
        <v>215</v>
      </c>
      <c r="C92" t="s">
        <v>21</v>
      </c>
      <c r="D92">
        <v>69</v>
      </c>
      <c r="E92" t="s">
        <v>53</v>
      </c>
      <c r="F92" t="s">
        <v>23</v>
      </c>
      <c r="G92" t="s">
        <v>28</v>
      </c>
      <c r="H92">
        <v>135005</v>
      </c>
      <c r="I92" t="s">
        <v>33</v>
      </c>
      <c r="J92" t="s">
        <v>25</v>
      </c>
      <c r="K92" s="1">
        <v>44775</v>
      </c>
      <c r="L92">
        <v>3</v>
      </c>
      <c r="M92" t="s">
        <v>1035</v>
      </c>
      <c r="N92">
        <v>2022</v>
      </c>
    </row>
    <row r="93" spans="1:14" x14ac:dyDescent="0.35">
      <c r="A93" t="s">
        <v>216</v>
      </c>
      <c r="B93" t="s">
        <v>217</v>
      </c>
      <c r="C93" t="s">
        <v>21</v>
      </c>
      <c r="D93">
        <v>33</v>
      </c>
      <c r="E93" t="s">
        <v>14</v>
      </c>
      <c r="F93" t="s">
        <v>37</v>
      </c>
      <c r="G93" t="s">
        <v>24</v>
      </c>
      <c r="H93">
        <v>22396</v>
      </c>
      <c r="I93" t="s">
        <v>42</v>
      </c>
      <c r="J93" t="s">
        <v>18</v>
      </c>
      <c r="K93" s="1">
        <v>42531</v>
      </c>
      <c r="L93">
        <v>9</v>
      </c>
      <c r="M93" t="s">
        <v>1037</v>
      </c>
      <c r="N93">
        <v>2016</v>
      </c>
    </row>
    <row r="94" spans="1:14" x14ac:dyDescent="0.35">
      <c r="A94" t="s">
        <v>218</v>
      </c>
      <c r="B94" t="s">
        <v>219</v>
      </c>
      <c r="C94" t="s">
        <v>21</v>
      </c>
      <c r="D94">
        <v>30</v>
      </c>
      <c r="E94" t="s">
        <v>14</v>
      </c>
      <c r="F94" t="s">
        <v>23</v>
      </c>
      <c r="G94" t="s">
        <v>28</v>
      </c>
      <c r="H94">
        <v>104082</v>
      </c>
      <c r="I94" t="s">
        <v>33</v>
      </c>
      <c r="J94" t="s">
        <v>18</v>
      </c>
      <c r="K94" s="1">
        <v>43102</v>
      </c>
      <c r="L94">
        <v>8</v>
      </c>
      <c r="M94" t="s">
        <v>1037</v>
      </c>
      <c r="N94">
        <v>2018</v>
      </c>
    </row>
    <row r="95" spans="1:14" x14ac:dyDescent="0.35">
      <c r="A95" t="s">
        <v>220</v>
      </c>
      <c r="B95" t="s">
        <v>221</v>
      </c>
      <c r="C95" t="s">
        <v>21</v>
      </c>
      <c r="D95">
        <v>67</v>
      </c>
      <c r="E95" t="s">
        <v>53</v>
      </c>
      <c r="F95" t="s">
        <v>23</v>
      </c>
      <c r="G95" t="s">
        <v>32</v>
      </c>
      <c r="H95">
        <v>170201</v>
      </c>
      <c r="I95" t="s">
        <v>17</v>
      </c>
      <c r="J95" t="s">
        <v>25</v>
      </c>
      <c r="K95" s="1">
        <v>45234</v>
      </c>
      <c r="L95">
        <v>2</v>
      </c>
      <c r="M95" t="s">
        <v>1035</v>
      </c>
      <c r="N95">
        <v>2023</v>
      </c>
    </row>
    <row r="96" spans="1:14" x14ac:dyDescent="0.35">
      <c r="A96" t="s">
        <v>222</v>
      </c>
      <c r="B96" t="s">
        <v>223</v>
      </c>
      <c r="C96" t="s">
        <v>21</v>
      </c>
      <c r="D96">
        <v>59</v>
      </c>
      <c r="E96" t="s">
        <v>22</v>
      </c>
      <c r="F96" t="s">
        <v>23</v>
      </c>
      <c r="G96" t="s">
        <v>45</v>
      </c>
      <c r="H96">
        <v>148322</v>
      </c>
      <c r="I96" t="s">
        <v>33</v>
      </c>
      <c r="J96" t="s">
        <v>25</v>
      </c>
      <c r="K96" s="1">
        <v>44381</v>
      </c>
      <c r="L96">
        <v>4</v>
      </c>
      <c r="M96" t="s">
        <v>1036</v>
      </c>
      <c r="N96">
        <v>2021</v>
      </c>
    </row>
    <row r="97" spans="1:14" x14ac:dyDescent="0.35">
      <c r="A97" t="s">
        <v>224</v>
      </c>
      <c r="B97" t="s">
        <v>225</v>
      </c>
      <c r="C97" t="s">
        <v>21</v>
      </c>
      <c r="D97">
        <v>47</v>
      </c>
      <c r="E97" t="s">
        <v>22</v>
      </c>
      <c r="F97" t="s">
        <v>15</v>
      </c>
      <c r="G97" t="s">
        <v>50</v>
      </c>
      <c r="H97">
        <v>152663</v>
      </c>
      <c r="I97" t="s">
        <v>17</v>
      </c>
      <c r="J97" t="s">
        <v>18</v>
      </c>
      <c r="K97" s="1">
        <v>42976</v>
      </c>
      <c r="L97">
        <v>8</v>
      </c>
      <c r="M97" t="s">
        <v>1037</v>
      </c>
      <c r="N97">
        <v>2017</v>
      </c>
    </row>
    <row r="98" spans="1:14" x14ac:dyDescent="0.35">
      <c r="A98" t="s">
        <v>226</v>
      </c>
      <c r="B98" t="s">
        <v>227</v>
      </c>
      <c r="C98" t="s">
        <v>21</v>
      </c>
      <c r="D98">
        <v>36</v>
      </c>
      <c r="E98" t="s">
        <v>14</v>
      </c>
      <c r="F98" t="s">
        <v>23</v>
      </c>
      <c r="G98" t="s">
        <v>45</v>
      </c>
      <c r="H98">
        <v>31303</v>
      </c>
      <c r="I98" t="s">
        <v>42</v>
      </c>
      <c r="J98" t="s">
        <v>18</v>
      </c>
      <c r="K98" s="1">
        <v>43091</v>
      </c>
      <c r="L98">
        <v>8</v>
      </c>
      <c r="M98" t="s">
        <v>1037</v>
      </c>
      <c r="N98">
        <v>2017</v>
      </c>
    </row>
    <row r="99" spans="1:14" x14ac:dyDescent="0.35">
      <c r="A99" t="s">
        <v>228</v>
      </c>
      <c r="B99" t="s">
        <v>229</v>
      </c>
      <c r="C99" t="s">
        <v>21</v>
      </c>
      <c r="D99">
        <v>34</v>
      </c>
      <c r="E99" t="s">
        <v>14</v>
      </c>
      <c r="F99" t="s">
        <v>23</v>
      </c>
      <c r="G99" t="s">
        <v>24</v>
      </c>
      <c r="H99">
        <v>181633</v>
      </c>
      <c r="I99" t="s">
        <v>17</v>
      </c>
      <c r="J99" t="s">
        <v>18</v>
      </c>
      <c r="K99" s="1">
        <v>45099</v>
      </c>
      <c r="L99">
        <v>2</v>
      </c>
      <c r="M99" t="s">
        <v>1035</v>
      </c>
      <c r="N99">
        <v>2023</v>
      </c>
    </row>
    <row r="100" spans="1:14" x14ac:dyDescent="0.35">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35">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35">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35">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35">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35">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35">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35">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35">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35">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35">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35">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35">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35">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35">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35">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35">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35">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35">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35">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35">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35">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35">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35">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35">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35">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35">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35">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35">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35">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35">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35">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35">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35">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35">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35">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35">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35">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35">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35">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35">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35">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35">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35">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35">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35">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35">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35">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35">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35">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35">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35">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35">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35">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35">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35">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35">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35">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35">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35">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35">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35">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35">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35">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35">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35">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35">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35">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35">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35">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35">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35">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35">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35">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35">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35">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35">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35">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35">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35">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35">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35">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35">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35">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35">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35">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35">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35">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35">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35">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35">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35">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35">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35">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35">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35">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35">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35">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35">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35">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35">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35">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35">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35">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35">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35">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35">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35">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35">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35">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35">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35">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35">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35">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35">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35">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35">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35">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35">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35">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35">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35">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35">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35">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35">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35">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35">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35">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35">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35">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35">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35">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35">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35">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35">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35">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35">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35">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35">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35">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35">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35">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35">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35">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35">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35">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35">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35">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35">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35">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35">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35">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35">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35">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35">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35">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35">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35">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35">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35">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35">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35">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35">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35">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35">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35">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35">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35">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35">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35">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35">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35">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35">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35">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35">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35">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35">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35">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35">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35">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35">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35">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35">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35">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35">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35">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35">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35">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35">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35">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35">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35">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35">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35">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35">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35">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35">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35">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35">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35">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35">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35">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35">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35">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35">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35">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35">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35">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35">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35">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35">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35">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35">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35">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35">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35">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35">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35">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35">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35">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35">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35">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35">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35">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35">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35">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35">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35">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35">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35">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35">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35">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35">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35">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35">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35">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35">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35">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35">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35">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35">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35">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35">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35">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35">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35">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35">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35">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35">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35">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35">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35">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35">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35">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35">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35">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35">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35">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35">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35">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35">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35">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35">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35">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35">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35">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35">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35">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35">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35">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35">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35">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35">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35">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35">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35">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35">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35">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35">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35">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35">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35">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35">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35">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35">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35">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35">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35">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35">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35">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35">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35">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35">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35">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35">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35">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35">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35">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35">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35">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35">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35">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35">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35">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35">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35">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35">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35">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35">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35">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35">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35">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35">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35">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35">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35">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35">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35">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35">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35">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35">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35">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35">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35">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35">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35">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35">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35">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35">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35">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35">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35">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35">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35">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35">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35">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35">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35">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35">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35">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35">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35">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35">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35">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35">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35">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35">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35">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35">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35">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35">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35">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35">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35">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35">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35">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35">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35">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35">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35">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35">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35">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35">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35">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35">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35">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35">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35">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35">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35">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35">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35">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35">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35">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35">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35">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35">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35">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35">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35">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35">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35">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35">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35">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35">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35">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35">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35">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35">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35">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35">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35">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35">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35">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35">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35">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35">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35">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35">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35">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35">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35">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zoomScale="67" workbookViewId="0"/>
  </sheetViews>
  <sheetFormatPr defaultRowHeight="14.5" x14ac:dyDescent="0.35"/>
  <cols>
    <col min="2" max="2" width="18.54296875" bestFit="1" customWidth="1"/>
    <col min="3" max="3" width="15.7265625" bestFit="1" customWidth="1"/>
    <col min="4" max="4" width="7.36328125" bestFit="1" customWidth="1"/>
    <col min="5" max="5" width="13.36328125" bestFit="1" customWidth="1"/>
    <col min="6" max="6" width="12.54296875" bestFit="1" customWidth="1"/>
    <col min="7" max="7" width="18.54296875" bestFit="1" customWidth="1"/>
    <col min="8" max="8" width="12.81640625" bestFit="1" customWidth="1"/>
    <col min="10" max="10" width="12.54296875" bestFit="1" customWidth="1"/>
    <col min="11" max="11" width="18.54296875" bestFit="1" customWidth="1"/>
  </cols>
  <sheetData>
    <row r="7" spans="2:11" x14ac:dyDescent="0.35">
      <c r="B7" t="s">
        <v>1039</v>
      </c>
      <c r="D7" t="s">
        <v>1040</v>
      </c>
      <c r="F7" t="s">
        <v>1041</v>
      </c>
      <c r="H7" t="s">
        <v>1042</v>
      </c>
    </row>
    <row r="8" spans="2:11" x14ac:dyDescent="0.35">
      <c r="B8" s="12">
        <v>56</v>
      </c>
      <c r="D8" s="9">
        <v>111384.91071428571</v>
      </c>
      <c r="F8" s="3">
        <v>4.9642857142857144</v>
      </c>
      <c r="G8" s="4"/>
      <c r="H8" s="3">
        <v>42.357142857142854</v>
      </c>
    </row>
    <row r="10" spans="2:11" x14ac:dyDescent="0.35">
      <c r="B10" s="11" t="s">
        <v>1045</v>
      </c>
      <c r="C10" s="11"/>
      <c r="F10" s="11" t="s">
        <v>1047</v>
      </c>
      <c r="G10" s="11"/>
      <c r="J10" s="11" t="s">
        <v>1048</v>
      </c>
      <c r="K10" s="11"/>
    </row>
    <row r="11" spans="2:11" x14ac:dyDescent="0.35">
      <c r="B11" s="2" t="s">
        <v>1043</v>
      </c>
      <c r="C11" t="s">
        <v>1039</v>
      </c>
      <c r="F11" s="2" t="s">
        <v>1043</v>
      </c>
      <c r="G11" t="s">
        <v>1039</v>
      </c>
      <c r="J11" s="2" t="s">
        <v>1043</v>
      </c>
      <c r="K11" t="s">
        <v>1039</v>
      </c>
    </row>
    <row r="12" spans="2:11" x14ac:dyDescent="0.35">
      <c r="B12" s="5" t="s">
        <v>21</v>
      </c>
      <c r="C12" s="7">
        <v>0.48214285714285715</v>
      </c>
      <c r="F12" s="5" t="s">
        <v>1035</v>
      </c>
      <c r="G12" s="6">
        <v>0.3392857142857143</v>
      </c>
      <c r="J12" s="5">
        <v>2015</v>
      </c>
      <c r="K12" s="12">
        <v>2</v>
      </c>
    </row>
    <row r="13" spans="2:11" x14ac:dyDescent="0.35">
      <c r="B13" s="5" t="s">
        <v>13</v>
      </c>
      <c r="C13" s="7">
        <v>0.5178571428571429</v>
      </c>
      <c r="F13" s="5" t="s">
        <v>1037</v>
      </c>
      <c r="G13" s="6">
        <v>0.30357142857142855</v>
      </c>
      <c r="H13" s="10">
        <f>MAX(G12:G15)</f>
        <v>0.3392857142857143</v>
      </c>
      <c r="J13" s="5">
        <v>2016</v>
      </c>
      <c r="K13" s="12">
        <v>5</v>
      </c>
    </row>
    <row r="14" spans="2:11" x14ac:dyDescent="0.35">
      <c r="F14" s="5" t="s">
        <v>1036</v>
      </c>
      <c r="G14" s="6">
        <v>0.23214285714285715</v>
      </c>
      <c r="H14" s="4" t="str">
        <f>INDEX(F12:F15,MATCH(MAX(G12:G15),G12:G15,0))</f>
        <v>Emerging</v>
      </c>
      <c r="J14" s="5">
        <v>2017</v>
      </c>
      <c r="K14" s="12">
        <v>9</v>
      </c>
    </row>
    <row r="15" spans="2:11" x14ac:dyDescent="0.35">
      <c r="F15" s="5" t="s">
        <v>1038</v>
      </c>
      <c r="G15" s="6">
        <v>0.125</v>
      </c>
      <c r="J15" s="5">
        <v>2018</v>
      </c>
      <c r="K15" s="12">
        <v>4</v>
      </c>
    </row>
    <row r="16" spans="2:11" x14ac:dyDescent="0.35">
      <c r="B16" s="11" t="s">
        <v>1046</v>
      </c>
      <c r="C16" s="11"/>
      <c r="J16" s="5">
        <v>2019</v>
      </c>
      <c r="K16" s="12">
        <v>2</v>
      </c>
    </row>
    <row r="17" spans="2:11" x14ac:dyDescent="0.35">
      <c r="B17" s="2" t="s">
        <v>1039</v>
      </c>
      <c r="C17" s="2" t="s">
        <v>1044</v>
      </c>
      <c r="J17" s="5">
        <v>2020</v>
      </c>
      <c r="K17" s="12">
        <v>5</v>
      </c>
    </row>
    <row r="18" spans="2:11" x14ac:dyDescent="0.35">
      <c r="B18" s="2" t="s">
        <v>1043</v>
      </c>
      <c r="C18" t="s">
        <v>21</v>
      </c>
      <c r="D18" t="s">
        <v>13</v>
      </c>
      <c r="F18" s="11" t="s">
        <v>1051</v>
      </c>
      <c r="G18" s="11"/>
      <c r="J18" s="5">
        <v>2021</v>
      </c>
      <c r="K18" s="12">
        <v>3</v>
      </c>
    </row>
    <row r="19" spans="2:11" x14ac:dyDescent="0.35">
      <c r="B19" s="5" t="s">
        <v>53</v>
      </c>
      <c r="C19" s="12">
        <v>7</v>
      </c>
      <c r="D19" s="12">
        <v>4</v>
      </c>
      <c r="F19" s="2" t="s">
        <v>1039</v>
      </c>
      <c r="G19" s="2" t="s">
        <v>1044</v>
      </c>
      <c r="J19" s="5">
        <v>2022</v>
      </c>
      <c r="K19" s="12">
        <v>8</v>
      </c>
    </row>
    <row r="20" spans="2:11" x14ac:dyDescent="0.35">
      <c r="B20" s="5" t="s">
        <v>22</v>
      </c>
      <c r="C20" s="12">
        <v>7</v>
      </c>
      <c r="D20" s="12">
        <v>5</v>
      </c>
      <c r="F20" s="2" t="s">
        <v>1043</v>
      </c>
      <c r="G20" t="s">
        <v>21</v>
      </c>
      <c r="H20" t="s">
        <v>13</v>
      </c>
      <c r="J20" s="5">
        <v>2023</v>
      </c>
      <c r="K20" s="12">
        <v>9</v>
      </c>
    </row>
    <row r="21" spans="2:11" x14ac:dyDescent="0.35">
      <c r="B21" s="5" t="s">
        <v>36</v>
      </c>
      <c r="C21" s="12">
        <v>6</v>
      </c>
      <c r="D21" s="12">
        <v>8</v>
      </c>
      <c r="F21" s="5" t="s">
        <v>33</v>
      </c>
      <c r="G21" s="12">
        <v>5</v>
      </c>
      <c r="H21" s="12">
        <v>9</v>
      </c>
      <c r="J21" s="5">
        <v>2024</v>
      </c>
      <c r="K21" s="12">
        <v>6</v>
      </c>
    </row>
    <row r="22" spans="2:11" x14ac:dyDescent="0.35">
      <c r="B22" s="5" t="s">
        <v>14</v>
      </c>
      <c r="C22" s="12">
        <v>7</v>
      </c>
      <c r="D22" s="12">
        <v>12</v>
      </c>
      <c r="F22" s="5" t="s">
        <v>17</v>
      </c>
      <c r="G22" s="12">
        <v>8</v>
      </c>
      <c r="H22" s="12">
        <v>9</v>
      </c>
      <c r="J22" s="5">
        <v>2025</v>
      </c>
      <c r="K22" s="12">
        <v>3</v>
      </c>
    </row>
    <row r="23" spans="2:11" x14ac:dyDescent="0.35">
      <c r="F23" s="5" t="s">
        <v>42</v>
      </c>
      <c r="G23" s="12">
        <v>14</v>
      </c>
      <c r="H23" s="12">
        <v>11</v>
      </c>
    </row>
    <row r="25" spans="2:11" x14ac:dyDescent="0.35">
      <c r="B25" s="11" t="s">
        <v>1050</v>
      </c>
      <c r="C25" s="11"/>
    </row>
    <row r="26" spans="2:11" x14ac:dyDescent="0.35">
      <c r="B26" s="2" t="s">
        <v>1039</v>
      </c>
      <c r="C26" s="2" t="s">
        <v>1044</v>
      </c>
    </row>
    <row r="27" spans="2:11" x14ac:dyDescent="0.35">
      <c r="B27" s="2" t="s">
        <v>1043</v>
      </c>
      <c r="C27" t="s">
        <v>21</v>
      </c>
      <c r="D27" t="s">
        <v>13</v>
      </c>
    </row>
    <row r="28" spans="2:11" x14ac:dyDescent="0.35">
      <c r="B28" s="5" t="s">
        <v>32</v>
      </c>
      <c r="C28" s="12">
        <v>2</v>
      </c>
      <c r="D28" s="12">
        <v>4</v>
      </c>
    </row>
    <row r="29" spans="2:11" x14ac:dyDescent="0.35">
      <c r="B29" s="5" t="s">
        <v>16</v>
      </c>
      <c r="C29" s="12">
        <v>5</v>
      </c>
      <c r="D29" s="12">
        <v>5</v>
      </c>
    </row>
    <row r="30" spans="2:11" x14ac:dyDescent="0.35">
      <c r="B30" s="5" t="s">
        <v>45</v>
      </c>
      <c r="C30" s="12">
        <v>3</v>
      </c>
      <c r="D30" s="12">
        <v>4</v>
      </c>
    </row>
    <row r="31" spans="2:11" x14ac:dyDescent="0.35">
      <c r="B31" s="5" t="s">
        <v>50</v>
      </c>
      <c r="C31" s="12">
        <v>6</v>
      </c>
      <c r="D31" s="12">
        <v>6</v>
      </c>
    </row>
    <row r="32" spans="2:11" x14ac:dyDescent="0.35">
      <c r="B32" s="5" t="s">
        <v>38</v>
      </c>
      <c r="C32" s="12">
        <v>5</v>
      </c>
      <c r="D32" s="12">
        <v>3</v>
      </c>
    </row>
    <row r="33" spans="2:4" x14ac:dyDescent="0.35">
      <c r="B33" s="5" t="s">
        <v>28</v>
      </c>
      <c r="C33" s="12">
        <v>3</v>
      </c>
      <c r="D33" s="12">
        <v>4</v>
      </c>
    </row>
    <row r="34" spans="2:4" x14ac:dyDescent="0.35">
      <c r="B34" s="5" t="s">
        <v>24</v>
      </c>
      <c r="C34" s="12">
        <v>3</v>
      </c>
      <c r="D34" s="12">
        <v>3</v>
      </c>
    </row>
  </sheetData>
  <mergeCells count="6">
    <mergeCell ref="B10:C10"/>
    <mergeCell ref="B16:C16"/>
    <mergeCell ref="F10:G10"/>
    <mergeCell ref="J10:K10"/>
    <mergeCell ref="B25:C25"/>
    <mergeCell ref="F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1"/>
  <sheetViews>
    <sheetView showGridLines="0" tabSelected="1" topLeftCell="B5" zoomScale="65" zoomScaleNormal="80" workbookViewId="0">
      <selection activeCell="E21" sqref="E21"/>
    </sheetView>
  </sheetViews>
  <sheetFormatPr defaultColWidth="8.90625" defaultRowHeight="14.5" x14ac:dyDescent="0.35"/>
  <cols>
    <col min="1" max="16384" width="8.9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charishmareddy012@gmail.com</cp:lastModifiedBy>
  <dcterms:created xsi:type="dcterms:W3CDTF">2025-10-15T09:07:40Z</dcterms:created>
  <dcterms:modified xsi:type="dcterms:W3CDTF">2025-12-12T15:56:52Z</dcterms:modified>
</cp:coreProperties>
</file>